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379f9c491f3aef7/"/>
    </mc:Choice>
  </mc:AlternateContent>
  <xr:revisionPtr revIDLastSave="0" documentId="8_{F74CC5A0-45CC-44C6-AAB6-9197426A3CC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Cleaned Data" sheetId="3" r:id="rId2"/>
    <sheet name="EDA" sheetId="4" r:id="rId3"/>
    <sheet name="Summary &amp; Observation " sheetId="5" r:id="rId4"/>
    <sheet name="KEY OBSERVATION" sheetId="6" r:id="rId5"/>
  </sheets>
  <definedNames>
    <definedName name="ExternalData_1" localSheetId="1" hidden="1">'Cleaned Data'!$A$1:$N$1201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5" l="1"/>
  <c r="E34" i="5"/>
  <c r="E33" i="5"/>
  <c r="E32" i="5"/>
  <c r="D35" i="5"/>
  <c r="D34" i="5"/>
  <c r="D33" i="5"/>
  <c r="D32" i="5"/>
  <c r="C35" i="5"/>
  <c r="C34" i="5"/>
  <c r="C33" i="5"/>
  <c r="C32" i="5"/>
  <c r="F24" i="5"/>
  <c r="F23" i="5"/>
  <c r="F22" i="5"/>
  <c r="F21" i="5"/>
  <c r="F20" i="5"/>
  <c r="E24" i="5"/>
  <c r="E23" i="5"/>
  <c r="E22" i="5"/>
  <c r="E21" i="5"/>
  <c r="E20" i="5"/>
  <c r="D24" i="5"/>
  <c r="D23" i="5"/>
  <c r="D22" i="5"/>
  <c r="D21" i="5"/>
  <c r="D20" i="5"/>
  <c r="C24" i="5"/>
  <c r="C23" i="5"/>
  <c r="C22" i="5"/>
  <c r="C21" i="5"/>
  <c r="C20" i="5"/>
  <c r="B7" i="5"/>
  <c r="B6" i="5"/>
  <c r="C31" i="4"/>
  <c r="E37" i="4"/>
  <c r="E36" i="4"/>
  <c r="E35" i="4"/>
  <c r="E34" i="4"/>
  <c r="E33" i="4"/>
  <c r="E32" i="4"/>
  <c r="E31" i="4"/>
  <c r="D37" i="4"/>
  <c r="D36" i="4"/>
  <c r="D35" i="4"/>
  <c r="D34" i="4"/>
  <c r="D33" i="4"/>
  <c r="D32" i="4"/>
  <c r="D31" i="4"/>
  <c r="C36" i="4"/>
  <c r="C37" i="4"/>
  <c r="C35" i="4"/>
  <c r="C34" i="4"/>
  <c r="C33" i="4"/>
  <c r="C32" i="4"/>
  <c r="H12" i="4"/>
  <c r="H17" i="4"/>
  <c r="H19" i="4"/>
  <c r="H23" i="4"/>
  <c r="H22" i="4"/>
  <c r="H21" i="4"/>
  <c r="H20" i="4"/>
  <c r="H18" i="4"/>
  <c r="H16" i="4"/>
  <c r="H15" i="4"/>
  <c r="H14" i="4"/>
  <c r="H13" i="4"/>
  <c r="H11" i="4"/>
  <c r="B23" i="4"/>
  <c r="E23" i="4"/>
  <c r="E17" i="4"/>
  <c r="E12" i="4"/>
  <c r="E19" i="4"/>
  <c r="E22" i="4"/>
  <c r="E21" i="4"/>
  <c r="E20" i="4"/>
  <c r="E18" i="4"/>
  <c r="E16" i="4"/>
  <c r="E15" i="4"/>
  <c r="E14" i="4"/>
  <c r="E13" i="4"/>
  <c r="E11" i="4"/>
  <c r="B12" i="4"/>
  <c r="B22" i="4"/>
  <c r="B19" i="4"/>
  <c r="B17" i="4"/>
  <c r="B18" i="4"/>
  <c r="B16" i="4"/>
  <c r="B15" i="4"/>
  <c r="B14" i="4"/>
  <c r="B21" i="4"/>
  <c r="B20" i="4"/>
  <c r="B13" i="4"/>
  <c r="B11" i="4"/>
  <c r="B8" i="5" l="1"/>
  <c r="B9" i="5" s="1"/>
  <c r="B10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95F83F-8547-4DC5-98CD-22D8B85EEB1C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<sst xmlns="http://schemas.openxmlformats.org/spreadsheetml/2006/main" count="21410" uniqueCount="4332">
  <si>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</si>
  <si>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</si>
  <si>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</si>
  <si>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</si>
  <si>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</si>
  <si>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</si>
  <si>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</si>
  <si>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</si>
  <si>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</si>
  <si>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</si>
  <si>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</si>
  <si>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</si>
  <si>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</si>
  <si>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</si>
  <si>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</si>
  <si>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</si>
  <si>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</si>
  <si>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</si>
  <si>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</si>
  <si>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</si>
  <si>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</si>
  <si>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</si>
  <si>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</si>
  <si>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</si>
  <si>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</si>
  <si>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</si>
  <si>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</si>
  <si>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</si>
  <si>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</si>
  <si>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</si>
  <si>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</si>
  <si>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</si>
  <si>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</si>
  <si>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</si>
  <si>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</si>
  <si>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</si>
  <si>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</si>
  <si>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</si>
  <si>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</si>
  <si>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</si>
  <si>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</si>
  <si>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</si>
  <si>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</si>
  <si>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</si>
  <si>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</si>
  <si>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</si>
  <si>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</si>
  <si>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</si>
  <si>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</si>
  <si>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</si>
  <si>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</si>
  <si>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</si>
  <si>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</si>
  <si>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</si>
  <si>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</si>
  <si>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</si>
  <si>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</si>
  <si>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</si>
  <si>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</si>
  <si>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</si>
  <si>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</si>
  <si>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</si>
  <si>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</si>
  <si>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</si>
  <si>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</si>
  <si>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</si>
  <si>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</si>
  <si>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</si>
  <si>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</si>
  <si>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</si>
  <si>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</si>
  <si>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</si>
  <si>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</si>
  <si>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</si>
  <si>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</si>
  <si>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</si>
  <si>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</si>
  <si>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</si>
  <si>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</si>
  <si>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</si>
  <si>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</si>
  <si>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</si>
  <si>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</si>
  <si>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</si>
  <si>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</si>
  <si>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</si>
  <si>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</si>
  <si>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</si>
  <si>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</si>
  <si>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</si>
  <si>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</si>
  <si>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</si>
  <si>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</si>
  <si>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</si>
  <si>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</si>
  <si>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</si>
  <si>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</si>
  <si>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</si>
  <si>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</si>
  <si>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</si>
  <si>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</si>
  <si>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</si>
  <si>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</si>
  <si>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</si>
  <si>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</si>
  <si>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</si>
  <si>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</si>
  <si>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</si>
  <si>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</si>
  <si>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</si>
  <si>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</si>
  <si>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</si>
  <si>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</si>
  <si>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</si>
  <si>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</si>
  <si>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</si>
  <si>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</si>
  <si>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</si>
  <si>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</si>
  <si>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</si>
  <si>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</si>
  <si>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</si>
  <si>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</si>
  <si>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</si>
  <si>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</si>
  <si>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</si>
  <si>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</si>
  <si>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</si>
  <si>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</si>
  <si>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</si>
  <si>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</si>
  <si>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</si>
  <si>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</si>
  <si>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</si>
  <si>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</si>
  <si>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</si>
  <si>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</si>
  <si>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</si>
  <si>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</si>
  <si>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</si>
  <si>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</si>
  <si>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</si>
  <si>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</si>
  <si>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</si>
  <si>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</si>
  <si>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</si>
  <si>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</si>
  <si>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</si>
  <si>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</si>
  <si>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</si>
  <si>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</si>
  <si>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</si>
  <si>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</si>
  <si>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</si>
  <si>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</si>
  <si>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</si>
  <si>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</si>
  <si>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</si>
  <si>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</si>
  <si>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</si>
  <si>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</si>
  <si>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</si>
  <si>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</si>
  <si>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</si>
  <si>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</si>
  <si>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</si>
  <si>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</si>
  <si>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</si>
  <si>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</si>
  <si>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</si>
  <si>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</si>
  <si>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</si>
  <si>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</si>
  <si>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</si>
  <si>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</si>
  <si>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</si>
  <si>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</si>
  <si>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</si>
  <si>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</si>
  <si>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</si>
  <si>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</si>
  <si>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</si>
  <si>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</si>
  <si>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</si>
  <si>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</si>
  <si>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</si>
  <si>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</si>
  <si>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</si>
  <si>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</si>
  <si>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</si>
  <si>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</si>
  <si>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</si>
  <si>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</si>
  <si>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</si>
  <si>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</si>
  <si>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</si>
  <si>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</si>
  <si>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</si>
  <si>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</si>
  <si>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</si>
  <si>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</si>
  <si>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</si>
  <si>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</si>
  <si>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</si>
  <si>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</si>
  <si>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</si>
  <si>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</si>
  <si>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</si>
  <si>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</si>
  <si>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</si>
  <si>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</si>
  <si>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</si>
  <si>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</si>
  <si>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</si>
  <si>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</si>
  <si>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</si>
  <si>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</si>
  <si>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</si>
  <si>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</si>
  <si>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</si>
  <si>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</si>
  <si>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</si>
  <si>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</si>
  <si>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</si>
  <si>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</si>
  <si>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</si>
  <si>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</si>
  <si>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</si>
  <si>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</si>
  <si>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</si>
  <si>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</si>
  <si>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</si>
  <si>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</si>
  <si>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</si>
  <si>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</si>
  <si>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</si>
  <si>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</si>
  <si>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</si>
  <si>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</si>
  <si>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</si>
  <si>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</si>
  <si>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</si>
  <si>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</si>
  <si>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</si>
  <si>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</si>
  <si>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</si>
  <si>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</si>
  <si>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</si>
  <si>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</si>
  <si>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</si>
  <si>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</si>
  <si>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</si>
  <si>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</si>
  <si>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</si>
  <si>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</si>
  <si>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</si>
  <si>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</si>
  <si>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</si>
  <si>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</si>
  <si>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</si>
  <si>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</si>
  <si>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</si>
  <si>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</si>
  <si>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</si>
  <si>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</si>
  <si>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</si>
  <si>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</si>
  <si>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</si>
  <si>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</si>
  <si>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</si>
  <si>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</si>
  <si>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</si>
  <si>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</si>
  <si>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</si>
  <si>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</si>
  <si>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</si>
  <si>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</si>
  <si>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</si>
  <si>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</si>
  <si>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</si>
  <si>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</si>
  <si>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</si>
  <si>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</si>
  <si>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</si>
  <si>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</si>
  <si>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</si>
  <si>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</si>
  <si>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</si>
  <si>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</si>
  <si>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</si>
  <si>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</si>
  <si>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</si>
  <si>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</si>
  <si>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</si>
  <si>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</si>
  <si>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</si>
  <si>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</si>
  <si>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</si>
  <si>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</si>
  <si>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</si>
  <si>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</si>
  <si>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</si>
  <si>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</si>
  <si>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</si>
  <si>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</si>
  <si>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</si>
  <si>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</si>
  <si>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</si>
  <si>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</si>
  <si>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</si>
  <si>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</si>
  <si>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</si>
  <si>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</si>
  <si>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</si>
  <si>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</si>
  <si>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</si>
  <si>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</si>
  <si>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</si>
  <si>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</si>
  <si>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</si>
  <si>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</si>
  <si>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</si>
  <si>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</si>
  <si>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</si>
  <si>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</si>
  <si>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</si>
  <si>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</si>
  <si>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</si>
  <si>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</si>
  <si>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</si>
  <si>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</si>
  <si>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</si>
  <si>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</si>
  <si>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</si>
  <si>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</si>
  <si>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</si>
  <si>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</si>
  <si>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</si>
  <si>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</si>
  <si>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</si>
  <si>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</si>
  <si>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</si>
  <si>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</si>
  <si>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</si>
  <si>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</si>
  <si>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</si>
  <si>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</si>
  <si>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</si>
  <si>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</si>
  <si>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</si>
  <si>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</si>
  <si>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</si>
  <si>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</si>
  <si>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</si>
  <si>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</si>
  <si>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</si>
  <si>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</si>
  <si>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</si>
  <si>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</si>
  <si>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</si>
  <si>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</si>
  <si>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</si>
  <si>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</si>
  <si>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</si>
  <si>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</si>
  <si>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</si>
  <si>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</si>
  <si>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</si>
  <si>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</si>
  <si>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</si>
  <si>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</si>
  <si>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</si>
  <si>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</si>
  <si>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</si>
  <si>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</si>
  <si>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</si>
  <si>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</si>
  <si>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</si>
  <si>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</si>
  <si>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</si>
  <si>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</si>
  <si>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</si>
  <si>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</si>
  <si>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</si>
  <si>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</si>
  <si>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</si>
  <si>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</si>
  <si>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</si>
  <si>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</si>
  <si>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</si>
  <si>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</si>
  <si>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</si>
  <si>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</si>
  <si>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</si>
  <si>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</si>
  <si>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</si>
  <si>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</si>
  <si>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</si>
  <si>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</si>
  <si>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</si>
  <si>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</si>
  <si>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</si>
  <si>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</si>
  <si>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</si>
  <si>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</si>
  <si>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</si>
  <si>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</si>
  <si>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</si>
  <si>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</si>
  <si>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</si>
  <si>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</si>
  <si>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</si>
  <si>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</si>
  <si>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</si>
  <si>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</si>
  <si>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</si>
  <si>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</si>
  <si>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</si>
  <si>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</si>
  <si>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</si>
  <si>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</si>
  <si>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</si>
  <si>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</si>
  <si>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</si>
  <si>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</si>
  <si>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</si>
  <si>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</si>
  <si>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</si>
  <si>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</si>
  <si>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</si>
  <si>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</si>
  <si>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</si>
  <si>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</si>
  <si>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</si>
  <si>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</si>
  <si>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</si>
  <si>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</si>
  <si>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</si>
  <si>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</si>
  <si>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</si>
  <si>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</si>
  <si>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</si>
  <si>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</si>
  <si>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</si>
  <si>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</si>
  <si>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</si>
  <si>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</si>
  <si>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</si>
  <si>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</si>
  <si>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</si>
  <si>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</si>
  <si>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</si>
  <si>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</si>
  <si>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</si>
  <si>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</si>
  <si>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</si>
  <si>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</si>
  <si>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</si>
  <si>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</si>
  <si>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</si>
  <si>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</si>
  <si>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</si>
  <si>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</si>
  <si>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</si>
  <si>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</si>
  <si>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</si>
  <si>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</si>
  <si>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</si>
  <si>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</si>
  <si>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</si>
  <si>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</si>
  <si>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</si>
  <si>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</si>
  <si>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</si>
  <si>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</si>
  <si>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</si>
  <si>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</si>
  <si>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</si>
  <si>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</si>
  <si>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</si>
  <si>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</si>
  <si>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</si>
  <si>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</si>
  <si>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</si>
  <si>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</si>
  <si>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</si>
  <si>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</si>
  <si>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</si>
  <si>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</si>
  <si>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</si>
  <si>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</si>
  <si>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</si>
  <si>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</si>
  <si>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</si>
  <si>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</si>
  <si>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</si>
  <si>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</si>
  <si>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</si>
  <si>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</si>
  <si>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</si>
  <si>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</si>
  <si>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</si>
  <si>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</si>
  <si>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</si>
  <si>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</si>
  <si>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</si>
  <si>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</si>
  <si>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</si>
  <si>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</si>
  <si>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</si>
  <si>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</si>
  <si>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</si>
  <si>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</si>
  <si>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</si>
  <si>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</si>
  <si>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</si>
  <si>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</si>
  <si>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</si>
  <si>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</si>
  <si>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</si>
  <si>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</si>
  <si>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</si>
  <si>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</si>
  <si>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</si>
  <si>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</si>
  <si>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</si>
  <si>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</si>
  <si>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</si>
  <si>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</si>
  <si>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</si>
  <si>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</si>
  <si>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</si>
  <si>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</si>
  <si>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</si>
  <si>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</si>
  <si>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</si>
  <si>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</si>
  <si>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</si>
  <si>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</si>
  <si>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</si>
  <si>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</si>
  <si>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</si>
  <si>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</si>
  <si>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</si>
  <si>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</si>
  <si>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</si>
  <si>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</si>
  <si>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</si>
  <si>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</si>
  <si>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</si>
  <si>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</si>
  <si>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</si>
  <si>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</si>
  <si>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</si>
  <si>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</si>
  <si>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</si>
  <si>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</si>
  <si>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</si>
  <si>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</si>
  <si>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</si>
  <si>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</si>
  <si>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</si>
  <si>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</si>
  <si>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</si>
  <si>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</si>
  <si>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</si>
  <si>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</si>
  <si>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</si>
  <si>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</si>
  <si>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</si>
  <si>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</si>
  <si>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</si>
  <si>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</si>
  <si>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</si>
  <si>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</si>
  <si>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</si>
  <si>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</si>
  <si>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</si>
  <si>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</si>
  <si>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</si>
  <si>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</si>
  <si>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</si>
  <si>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</si>
  <si>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</si>
  <si>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</si>
  <si>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</si>
  <si>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</si>
  <si>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</si>
  <si>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</si>
  <si>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</si>
  <si>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</si>
  <si>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</si>
  <si>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</si>
  <si>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</si>
  <si>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</si>
  <si>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</si>
  <si>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</si>
  <si>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</si>
  <si>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</si>
  <si>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</si>
  <si>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</si>
  <si>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</si>
  <si>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</si>
  <si>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</si>
  <si>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</si>
  <si>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</si>
  <si>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</si>
  <si>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</si>
  <si>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</si>
  <si>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</si>
  <si>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</si>
  <si>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</si>
  <si>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</si>
  <si>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</si>
  <si>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</si>
  <si>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</si>
  <si>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</si>
  <si>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</si>
  <si>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</si>
  <si>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</si>
  <si>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</si>
  <si>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</si>
  <si>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</si>
  <si>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</si>
  <si>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</si>
  <si>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</si>
  <si>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</si>
  <si>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</si>
  <si>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</si>
  <si>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</si>
  <si>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</si>
  <si>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</si>
  <si>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</si>
  <si>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</si>
  <si>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</si>
  <si>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</si>
  <si>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</si>
  <si>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</si>
  <si>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</si>
  <si>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</si>
  <si>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</si>
  <si>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</si>
  <si>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</si>
  <si>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</si>
  <si>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</si>
  <si>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</si>
  <si>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</si>
  <si>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</si>
  <si>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</si>
  <si>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</si>
  <si>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</si>
  <si>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</si>
  <si>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</si>
  <si>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</si>
  <si>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</si>
  <si>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</si>
  <si>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</si>
  <si>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</si>
  <si>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</si>
  <si>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</si>
  <si>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</si>
  <si>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</si>
  <si>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</si>
  <si>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</si>
  <si>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</si>
  <si>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</si>
  <si>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</si>
  <si>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</si>
  <si>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</si>
  <si>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</si>
  <si>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</si>
  <si>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</si>
  <si>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</si>
  <si>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</si>
  <si>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</si>
  <si>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</si>
  <si>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</si>
  <si>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</si>
  <si>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</si>
  <si>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</si>
  <si>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</si>
  <si>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</si>
  <si>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</si>
  <si>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</si>
  <si>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</si>
  <si>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</si>
  <si>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</si>
  <si>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</si>
  <si>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</si>
  <si>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</si>
  <si>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</si>
  <si>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</si>
  <si>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</si>
  <si>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</si>
  <si>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</si>
  <si>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</si>
  <si>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</si>
  <si>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</si>
  <si>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</si>
  <si>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</si>
  <si>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</si>
  <si>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</si>
  <si>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</si>
  <si>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</si>
  <si>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</si>
  <si>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</si>
  <si>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</si>
  <si>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</si>
  <si>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</si>
  <si>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</si>
  <si>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</si>
  <si>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</si>
  <si>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</si>
  <si>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</si>
  <si>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</si>
  <si>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</si>
  <si>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</si>
  <si>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</si>
  <si>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</si>
  <si>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</si>
  <si>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</si>
  <si>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</si>
  <si>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</si>
  <si>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</si>
  <si>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</si>
  <si>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</si>
  <si>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</si>
  <si>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</si>
  <si>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</si>
  <si>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</si>
  <si>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</si>
  <si>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</si>
  <si>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</si>
  <si>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</si>
  <si>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</si>
  <si>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</si>
  <si>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</si>
  <si>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</si>
  <si>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</si>
  <si>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</si>
  <si>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</si>
  <si>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</si>
  <si>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</si>
  <si>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</si>
  <si>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</si>
  <si>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</si>
  <si>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</si>
  <si>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</si>
  <si>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</si>
  <si>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</si>
  <si>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</si>
  <si>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</si>
  <si>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</si>
  <si>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</si>
  <si>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</si>
  <si>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</si>
  <si>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</si>
  <si>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</si>
  <si>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</si>
  <si>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</si>
  <si>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</si>
  <si>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</si>
  <si>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</si>
  <si>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</si>
  <si>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</si>
  <si>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</si>
  <si>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</si>
  <si>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</si>
  <si>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</si>
  <si>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</si>
  <si>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</si>
  <si>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</si>
  <si>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</si>
  <si>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</si>
  <si>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</si>
  <si>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</si>
  <si>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</si>
  <si>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</si>
  <si>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</si>
  <si>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</si>
  <si>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</si>
  <si>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</si>
  <si>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</si>
  <si>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</si>
  <si>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</si>
  <si>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</si>
  <si>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</si>
  <si>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</si>
  <si>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</si>
  <si>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</si>
  <si>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</si>
  <si>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</si>
  <si>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</si>
  <si>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</si>
  <si>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</si>
  <si>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</si>
  <si>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</si>
  <si>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</si>
  <si>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</si>
  <si>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</si>
  <si>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</si>
  <si>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</si>
  <si>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</si>
  <si>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</si>
  <si>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</si>
  <si>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</si>
  <si>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</si>
  <si>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</si>
  <si>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</si>
  <si>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</si>
  <si>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</si>
  <si>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</si>
  <si>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</si>
  <si>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</si>
  <si>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</si>
  <si>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</si>
  <si>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</si>
  <si>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</si>
  <si>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</si>
  <si>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</si>
  <si>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</si>
  <si>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</si>
  <si>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</si>
  <si>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</si>
  <si>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</si>
  <si>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</si>
  <si>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</si>
  <si>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</si>
  <si>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</si>
  <si>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</si>
  <si>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</si>
  <si>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</si>
  <si>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</si>
  <si>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</si>
  <si>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</si>
  <si>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</si>
  <si>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</si>
  <si>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</si>
  <si>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</si>
  <si>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</si>
  <si>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</si>
  <si>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</si>
  <si>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</si>
  <si>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</si>
  <si>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</si>
  <si>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</si>
  <si>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</si>
  <si>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</si>
  <si>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</si>
  <si>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</si>
  <si>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</si>
  <si>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</si>
  <si>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</si>
  <si>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</si>
  <si>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</si>
  <si>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</si>
  <si>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</si>
  <si>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</si>
  <si>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</si>
  <si>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</si>
  <si>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</si>
  <si>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</si>
  <si>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</si>
  <si>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</si>
  <si>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</si>
  <si>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</si>
  <si>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</si>
  <si>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</si>
  <si>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</si>
  <si>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</si>
  <si>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</si>
  <si>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</si>
  <si>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</si>
  <si>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</si>
  <si>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</si>
  <si>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</si>
  <si>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</si>
  <si>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</si>
  <si>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</si>
  <si>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</si>
  <si>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</si>
  <si>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</si>
  <si>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</si>
  <si>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</si>
  <si>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</si>
  <si>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</si>
  <si>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</si>
  <si>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</si>
  <si>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</si>
  <si>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</si>
  <si>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</si>
  <si>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</si>
  <si>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</si>
  <si>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</si>
  <si>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</si>
  <si>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</si>
  <si>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</si>
  <si>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</si>
  <si>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</si>
  <si>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</si>
  <si>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</si>
  <si>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</si>
  <si>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</si>
  <si>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</si>
  <si>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</si>
  <si>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</si>
  <si>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</si>
  <si>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</si>
  <si>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</si>
  <si>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</si>
  <si>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</si>
  <si>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</si>
  <si>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</si>
  <si>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</si>
  <si>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</si>
  <si>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</si>
  <si>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</si>
  <si>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</si>
  <si>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</si>
  <si>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</si>
  <si>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</si>
  <si>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</si>
  <si>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</si>
  <si>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</si>
  <si>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</si>
  <si>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</si>
  <si>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</si>
  <si>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</si>
  <si>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</si>
  <si>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</si>
  <si>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</si>
  <si>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</si>
  <si>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</si>
  <si>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</si>
  <si>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</si>
  <si>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</si>
  <si>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</si>
  <si>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</si>
  <si>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</si>
  <si>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</si>
  <si>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</si>
  <si>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</si>
  <si>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</si>
  <si>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</si>
  <si>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</si>
  <si>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</si>
  <si>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</si>
  <si>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</si>
  <si>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</si>
  <si>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</si>
  <si>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</si>
  <si>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</si>
  <si>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</si>
  <si>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</si>
  <si>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</si>
  <si>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</si>
  <si>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</si>
  <si>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</si>
  <si>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</si>
  <si>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</si>
  <si>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</si>
  <si>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</si>
  <si>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</si>
  <si>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</si>
  <si>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</si>
  <si>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</si>
  <si>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</si>
  <si>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</si>
  <si>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</si>
  <si>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</si>
  <si>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</si>
  <si>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</si>
  <si>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</si>
  <si>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</si>
  <si>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</si>
  <si>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</si>
  <si>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</si>
  <si>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</si>
  <si>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</si>
  <si>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</si>
  <si>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</si>
  <si>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</si>
  <si>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</si>
  <si>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</si>
  <si>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</si>
  <si>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</si>
  <si>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</si>
  <si>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</si>
  <si>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</si>
  <si>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</si>
  <si>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</si>
  <si>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</si>
  <si>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</si>
  <si>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</si>
  <si>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</si>
  <si>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</si>
  <si>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</si>
  <si>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</si>
  <si>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</si>
  <si>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</si>
  <si>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</si>
  <si>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</si>
  <si>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</si>
  <si>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</si>
  <si>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</si>
  <si>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</si>
  <si>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</si>
  <si>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</si>
  <si>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</si>
  <si>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</si>
  <si>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</si>
  <si>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</si>
  <si>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</si>
  <si>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</si>
  <si>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</si>
  <si>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</si>
  <si>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</si>
  <si>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</si>
  <si>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</si>
  <si>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</si>
  <si>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</si>
  <si>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</si>
  <si>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</si>
  <si>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</si>
  <si>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</si>
  <si>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</si>
  <si>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</si>
  <si>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</si>
  <si>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</si>
  <si>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</si>
  <si>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</si>
  <si>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</si>
  <si>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</si>
  <si>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</si>
  <si>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</si>
  <si>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</si>
  <si>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</si>
  <si>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</si>
  <si>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</si>
  <si>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</si>
  <si>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</si>
  <si>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</si>
  <si>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</si>
  <si>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</si>
  <si>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</si>
  <si>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</si>
  <si>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</si>
  <si>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</si>
  <si>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</si>
  <si>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</si>
  <si>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</si>
  <si>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</si>
  <si>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</si>
  <si>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</si>
  <si>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</si>
  <si>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</si>
  <si>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</si>
  <si>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</si>
  <si>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</si>
  <si>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</si>
  <si>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</si>
  <si>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</si>
  <si>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</si>
  <si>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</si>
  <si>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</si>
  <si>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</si>
  <si>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</si>
  <si>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</si>
  <si>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</si>
  <si>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</si>
  <si>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</si>
  <si>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</si>
  <si>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</si>
  <si>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</si>
  <si>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</si>
  <si>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</si>
  <si>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</si>
  <si>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</si>
  <si>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</si>
  <si>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</si>
  <si>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</si>
  <si>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</si>
  <si>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</si>
  <si>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</si>
  <si>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</si>
  <si>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</si>
  <si>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</si>
  <si>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</si>
  <si>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</si>
  <si>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</si>
  <si>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</si>
  <si>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</si>
  <si>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</si>
  <si>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</si>
  <si>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</si>
  <si>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</si>
  <si>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</si>
  <si>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</si>
  <si>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</si>
  <si>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</si>
  <si>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</si>
  <si>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</si>
  <si>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</si>
  <si>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</si>
  <si>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</si>
  <si>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</si>
  <si>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</si>
  <si>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</si>
  <si>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</si>
  <si>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</si>
  <si>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</si>
  <si>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</si>
  <si>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</si>
  <si>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</si>
  <si>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</si>
  <si>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</si>
  <si>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</si>
  <si>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</si>
  <si>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</si>
  <si>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</si>
  <si>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</si>
  <si>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</si>
  <si>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</si>
  <si>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</si>
  <si>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</si>
  <si>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</si>
  <si>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</si>
  <si>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</si>
  <si>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</si>
  <si>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</si>
  <si>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</si>
  <si>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</si>
  <si>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</si>
  <si>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</si>
  <si>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</si>
  <si>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</si>
  <si>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</si>
  <si>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</si>
  <si>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</si>
  <si>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</si>
  <si>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</si>
  <si>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</si>
  <si>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</si>
  <si>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</si>
  <si>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</si>
  <si>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</si>
  <si>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</si>
  <si>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</si>
  <si>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</si>
  <si>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</si>
  <si>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</si>
  <si>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</si>
  <si>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</si>
  <si>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</si>
  <si>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</si>
  <si>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</si>
  <si>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</si>
  <si>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</si>
  <si>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</si>
  <si>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</si>
  <si>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</si>
  <si>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</si>
  <si>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</si>
  <si>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</si>
  <si>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</si>
  <si>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</si>
  <si>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</si>
  <si>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</si>
  <si>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</si>
  <si>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</si>
  <si>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</si>
  <si>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</si>
  <si>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</si>
  <si>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</si>
  <si>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</si>
  <si>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</si>
  <si>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</si>
  <si>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</si>
  <si>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</si>
  <si>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</si>
  <si>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</si>
  <si>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</si>
  <si>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</si>
  <si>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</si>
  <si>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</si>
  <si>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</si>
  <si>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</si>
  <si>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</si>
  <si>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</si>
  <si>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</si>
  <si>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</si>
  <si>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</si>
  <si>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</si>
  <si>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</si>
  <si>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</si>
  <si>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</si>
  <si>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</si>
  <si>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</si>
  <si>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</si>
  <si>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</si>
  <si>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</si>
  <si>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</si>
  <si>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</si>
  <si>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</si>
  <si>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</si>
  <si>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</si>
  <si>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</si>
  <si>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</si>
  <si>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</si>
  <si>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</si>
  <si>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</si>
  <si>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</si>
  <si>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</si>
  <si>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</si>
  <si>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</si>
  <si>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</si>
  <si>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</si>
  <si>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</si>
  <si>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</si>
  <si>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</si>
  <si>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</si>
  <si>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</si>
  <si>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</si>
  <si>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</si>
  <si>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</si>
  <si>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</si>
  <si>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</si>
  <si>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</si>
  <si>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</si>
  <si>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</si>
  <si>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</si>
  <si>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</si>
  <si>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</si>
  <si>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</si>
  <si>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</si>
  <si>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</si>
  <si>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</si>
  <si>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</si>
  <si>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</si>
  <si>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</si>
  <si>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</si>
  <si>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</si>
  <si>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</si>
  <si>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</si>
  <si>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</si>
  <si>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</si>
  <si>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</si>
  <si>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</si>
  <si>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</si>
  <si>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</si>
  <si>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</si>
  <si>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</si>
  <si>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</si>
  <si>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</si>
  <si>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</si>
  <si>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</si>
  <si>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</si>
  <si>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</si>
  <si>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</si>
  <si>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</si>
  <si>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</si>
  <si>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</si>
  <si>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</si>
  <si>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</si>
  <si>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</si>
  <si>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</si>
  <si>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</si>
  <si>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</si>
  <si>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</si>
  <si>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</si>
  <si>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</si>
  <si>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</si>
  <si>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</si>
  <si>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</si>
  <si>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</si>
  <si>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</si>
  <si>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</si>
  <si>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</si>
  <si>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</si>
  <si>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</si>
  <si>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</si>
  <si>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</si>
  <si>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</si>
  <si>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</si>
  <si>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</si>
  <si>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</si>
  <si>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</si>
  <si>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</si>
  <si>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</si>
  <si>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</si>
  <si>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</si>
  <si>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</si>
  <si>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</si>
  <si>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</si>
  <si>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</si>
  <si>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</si>
  <si>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</si>
  <si>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</si>
  <si>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</si>
  <si>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</si>
  <si>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</si>
  <si>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</si>
  <si>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</si>
  <si>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</si>
  <si>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</si>
  <si>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</si>
  <si>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</si>
  <si>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</si>
  <si>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</si>
  <si>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</si>
  <si>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</si>
  <si>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</si>
  <si>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</si>
  <si>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</si>
  <si>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</si>
  <si>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</si>
  <si>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</si>
  <si>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</si>
  <si>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</si>
  <si>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</si>
  <si>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</si>
  <si>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</si>
  <si>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</si>
  <si>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</si>
  <si>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</si>
  <si>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</si>
  <si>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</si>
  <si>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</si>
  <si>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</si>
  <si>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</si>
  <si>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</si>
  <si>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</si>
  <si>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</si>
  <si>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</si>
  <si>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</si>
  <si>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</si>
  <si>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</si>
  <si>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</si>
  <si>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</si>
  <si>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</si>
  <si>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</si>
  <si>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</si>
  <si>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</si>
  <si>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</si>
  <si>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</si>
  <si>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</si>
  <si>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</si>
  <si>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</si>
  <si>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</si>
  <si>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</si>
  <si>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</si>
  <si>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</si>
  <si>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</si>
  <si>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</si>
  <si>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</si>
  <si>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</si>
  <si>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</si>
  <si>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</si>
  <si>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</si>
  <si>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</si>
  <si>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</si>
  <si>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</si>
  <si>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</si>
  <si>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</si>
  <si>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</si>
  <si>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</si>
  <si>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</si>
  <si>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</si>
  <si>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</si>
  <si>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</si>
  <si>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</si>
  <si>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</si>
  <si>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</si>
  <si>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</si>
  <si>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</si>
  <si>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</si>
  <si>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</si>
  <si>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</si>
  <si>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</si>
  <si>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</si>
  <si>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</si>
  <si>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</si>
  <si>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</si>
  <si>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</si>
  <si>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</si>
  <si>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</si>
  <si>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</si>
  <si>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</si>
  <si>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</si>
  <si>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</si>
  <si>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</si>
  <si>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</si>
  <si>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</si>
  <si>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</si>
  <si>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</si>
  <si>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</si>
  <si>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</si>
  <si>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</si>
  <si>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</si>
  <si>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</si>
  <si>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</si>
  <si>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</si>
  <si>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</si>
  <si>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</si>
  <si>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</si>
  <si>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</si>
  <si>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</si>
  <si>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</si>
  <si>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</si>
  <si>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</si>
  <si>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</si>
  <si>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</si>
  <si>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</si>
  <si>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</si>
  <si>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</si>
  <si>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</si>
  <si>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</si>
  <si>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</si>
  <si>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</si>
  <si>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</si>
  <si>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</si>
  <si>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</si>
  <si>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</si>
  <si>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</si>
  <si>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</si>
  <si>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</si>
  <si>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</si>
  <si>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</si>
  <si>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</si>
  <si>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</si>
  <si>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</si>
  <si>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</si>
  <si>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</si>
  <si>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</si>
  <si>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</si>
  <si>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</si>
  <si>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</si>
  <si>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</si>
  <si>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</si>
  <si>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</si>
  <si>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</si>
  <si>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</si>
  <si>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</si>
  <si>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</si>
  <si>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</si>
  <si>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</si>
  <si>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</si>
  <si>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</si>
  <si>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</si>
  <si>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</si>
  <si>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</si>
  <si>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</si>
  <si>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</si>
  <si>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</si>
  <si>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</si>
  <si>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</si>
  <si>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</si>
  <si>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</si>
  <si>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</si>
  <si>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</si>
  <si>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</si>
  <si>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</si>
  <si>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</si>
  <si>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</si>
  <si>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</si>
  <si>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</si>
  <si>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</si>
  <si>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</si>
  <si>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</si>
  <si>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</si>
  <si>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</si>
  <si>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</si>
  <si>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</si>
  <si>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</si>
  <si>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</si>
  <si>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</si>
  <si>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</si>
  <si>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</si>
  <si>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</si>
  <si>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</si>
  <si>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</si>
  <si>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</si>
  <si>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</si>
  <si>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</si>
  <si>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</si>
  <si>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</si>
  <si>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</si>
  <si>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</si>
  <si>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</si>
  <si>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</si>
  <si>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</si>
  <si>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</si>
  <si>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</si>
  <si>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</si>
  <si>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</si>
  <si>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</si>
  <si>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</si>
  <si>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</si>
  <si>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</si>
  <si>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</si>
  <si>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</si>
  <si>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</si>
  <si>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</si>
  <si>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</si>
  <si>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</si>
  <si>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</si>
  <si>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</si>
  <si>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</si>
  <si>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</si>
  <si>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</si>
  <si>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</si>
  <si>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</si>
  <si>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</si>
  <si>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</si>
  <si>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</si>
  <si>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</si>
  <si>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</si>
  <si>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</si>
  <si>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</si>
  <si>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</si>
  <si>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</si>
  <si>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</si>
  <si>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</si>
  <si>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</si>
  <si>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</si>
  <si>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</si>
  <si>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</si>
  <si>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</si>
  <si>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</si>
  <si>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</si>
  <si>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</si>
  <si>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</si>
  <si>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</si>
  <si>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</si>
  <si>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</si>
  <si>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</si>
  <si>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</si>
  <si>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</si>
  <si>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</si>
  <si>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</si>
  <si>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</si>
  <si>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</si>
  <si>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</si>
  <si>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</si>
  <si>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</si>
  <si>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</si>
  <si>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</si>
  <si>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</si>
  <si>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</si>
  <si>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</si>
  <si>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</si>
  <si>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</si>
  <si>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</si>
  <si>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</si>
  <si>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</si>
  <si>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</si>
  <si>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</si>
  <si>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</si>
  <si>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</si>
  <si>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</si>
  <si>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</si>
  <si>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</si>
  <si>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</si>
  <si>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</si>
  <si>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</si>
  <si>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</si>
  <si>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</si>
  <si>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</si>
  <si>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</si>
  <si>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</si>
  <si>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</si>
  <si>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</si>
  <si>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</si>
  <si>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</si>
  <si>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</si>
  <si>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</si>
  <si>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</si>
  <si>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</si>
  <si>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</si>
  <si>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</si>
  <si>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</si>
  <si>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</si>
  <si>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</si>
  <si>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</si>
  <si>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</si>
  <si>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</si>
  <si>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</si>
  <si>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</si>
  <si>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</si>
  <si>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</si>
  <si>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</si>
  <si>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</si>
  <si>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</si>
  <si>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</si>
  <si>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</si>
  <si>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</si>
  <si>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</si>
  <si>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</si>
  <si>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</si>
  <si>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</si>
  <si>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</si>
  <si>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</si>
  <si>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</si>
  <si>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</si>
  <si>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</si>
  <si>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</si>
  <si>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</si>
  <si>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</si>
  <si>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</si>
  <si>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</si>
  <si>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</si>
  <si>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</si>
  <si>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</si>
  <si>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</si>
  <si>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</si>
  <si>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</si>
  <si>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</si>
  <si>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</si>
  <si>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</si>
  <si>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</si>
  <si>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</si>
  <si>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</si>
  <si>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</si>
  <si>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</si>
  <si>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</si>
  <si>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</si>
  <si>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</si>
  <si>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</si>
  <si>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</si>
  <si>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</si>
  <si>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</si>
  <si>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</si>
  <si>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</si>
  <si>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</si>
  <si>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</si>
  <si>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</si>
  <si>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</si>
  <si>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</si>
  <si>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</si>
  <si>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</si>
  <si>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</si>
  <si>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</si>
  <si>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</si>
  <si>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</si>
  <si>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</si>
  <si>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</si>
  <si>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</si>
  <si>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</si>
  <si>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</si>
  <si>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</si>
  <si>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</si>
  <si>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</si>
  <si>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</si>
  <si>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</si>
  <si>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</si>
  <si>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</si>
  <si>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</si>
  <si>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</si>
  <si>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</si>
  <si>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</si>
  <si>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</si>
  <si>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</si>
  <si>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</si>
  <si>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</si>
  <si>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</si>
  <si>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</si>
  <si>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</si>
  <si>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</si>
  <si>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</si>
  <si>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</si>
  <si>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</si>
  <si>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</si>
  <si>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</si>
  <si>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</si>
  <si>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</si>
  <si>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</si>
  <si>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</si>
  <si>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</si>
  <si>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</si>
  <si>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</si>
  <si>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</si>
  <si>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</si>
  <si>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</si>
  <si>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</si>
  <si>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</si>
  <si>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</si>
  <si>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</si>
  <si>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</si>
  <si>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</si>
  <si>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</si>
  <si>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</si>
  <si>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</si>
  <si>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</si>
  <si>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</si>
  <si>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</si>
  <si>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</si>
  <si>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</si>
  <si>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</si>
  <si>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</si>
  <si>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</si>
  <si>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</si>
  <si>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</si>
  <si>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</si>
  <si>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</si>
  <si>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</si>
  <si>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</si>
  <si>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</si>
  <si>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</si>
  <si>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</si>
  <si>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</si>
  <si>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</si>
  <si>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</si>
  <si>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</si>
  <si>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</si>
  <si>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</si>
  <si>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</si>
  <si>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</si>
  <si>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</si>
  <si>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</si>
  <si>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</si>
  <si>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</si>
  <si>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</si>
  <si>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</si>
  <si>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</si>
  <si>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</si>
  <si>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</si>
  <si>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</si>
  <si>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</si>
  <si>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</si>
  <si>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</si>
  <si>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</si>
  <si>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</si>
  <si>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</si>
  <si>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</si>
  <si>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</si>
  <si>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</si>
  <si>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</si>
  <si>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</si>
  <si>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</si>
  <si>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</si>
  <si>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</si>
  <si>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</si>
  <si>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</si>
  <si>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</si>
  <si>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</si>
  <si>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</si>
  <si>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</si>
  <si>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</si>
  <si>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</si>
  <si>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</si>
  <si>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</si>
  <si>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</si>
  <si>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</si>
  <si>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</si>
  <si>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</si>
  <si>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</si>
  <si>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</si>
  <si>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</si>
  <si>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</si>
  <si>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</si>
  <si>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</si>
  <si>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</si>
  <si>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</si>
  <si>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</si>
  <si>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</si>
  <si>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</si>
  <si>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</si>
  <si>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</si>
  <si>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</si>
  <si>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</si>
  <si>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</si>
  <si>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</si>
  <si>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</si>
  <si>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</si>
  <si>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</si>
  <si>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</si>
  <si>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</si>
  <si>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</si>
  <si>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</si>
  <si>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</si>
  <si>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</si>
  <si>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</si>
  <si>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</si>
  <si>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</si>
  <si>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</si>
  <si>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</si>
  <si>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</si>
  <si>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</si>
  <si>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</si>
  <si>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</si>
  <si>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</si>
  <si>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</si>
  <si>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</si>
  <si>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</si>
  <si>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</si>
  <si>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</si>
  <si>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</si>
  <si>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</si>
  <si>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</si>
  <si>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</si>
  <si>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</si>
  <si>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</si>
  <si>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</si>
  <si>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</si>
  <si>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</si>
  <si>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</si>
  <si>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</si>
  <si>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</si>
  <si>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</si>
  <si>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</si>
  <si>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</si>
  <si>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</si>
  <si>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</si>
  <si>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</si>
  <si>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</si>
  <si>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</si>
  <si>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</si>
  <si>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</si>
  <si>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</si>
  <si>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</si>
  <si>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</si>
  <si>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</si>
  <si>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</si>
  <si>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</si>
  <si>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</si>
  <si>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</si>
  <si>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</si>
  <si>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</si>
  <si>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</si>
  <si>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</si>
  <si>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</si>
  <si>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</si>
  <si>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</si>
  <si>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</si>
  <si>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</si>
  <si>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</si>
  <si>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</si>
  <si>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</si>
  <si>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</si>
  <si>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</si>
  <si>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</si>
  <si>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</si>
  <si>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</si>
  <si>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</si>
  <si>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</si>
  <si>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</si>
  <si>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</si>
  <si>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</si>
  <si>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</si>
  <si>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</si>
  <si>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</si>
  <si>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</si>
  <si>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</si>
  <si>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</si>
  <si>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</si>
  <si>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</si>
  <si>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</si>
  <si>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</si>
  <si>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</si>
  <si>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</si>
  <si>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</si>
  <si>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</si>
  <si>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</si>
  <si>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</si>
  <si>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</si>
  <si>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</si>
  <si>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</si>
  <si>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</si>
  <si>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</si>
  <si>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</si>
  <si>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</si>
  <si>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</si>
  <si>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</si>
  <si>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</si>
  <si>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</si>
  <si>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</si>
  <si>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</si>
  <si>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</si>
  <si>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</si>
  <si>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</si>
  <si>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</si>
  <si>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</si>
  <si>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</si>
  <si>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</si>
  <si>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</si>
  <si>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</si>
  <si>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</si>
  <si>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</si>
  <si>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</si>
  <si>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</si>
  <si>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</si>
  <si>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</si>
  <si>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</si>
  <si>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</si>
  <si>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</si>
  <si>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</si>
  <si>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</si>
  <si>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</si>
  <si>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</si>
  <si>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</si>
  <si>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</si>
  <si>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</si>
  <si>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</si>
  <si>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</si>
  <si>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</si>
  <si>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</si>
  <si>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</si>
  <si>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</si>
  <si>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</si>
  <si>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</si>
  <si>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</si>
  <si>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</si>
  <si>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</si>
  <si>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</si>
  <si>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</si>
  <si>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</si>
  <si>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</si>
  <si>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</si>
  <si>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</si>
  <si>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</si>
  <si>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</si>
  <si>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</si>
  <si>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</si>
  <si>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</si>
  <si>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</si>
  <si>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</si>
  <si>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</si>
  <si>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</si>
  <si>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</si>
  <si>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</si>
  <si>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</si>
  <si>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</si>
  <si>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</si>
  <si>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</si>
  <si>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</si>
  <si>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</si>
  <si>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</si>
  <si>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</si>
  <si>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</si>
  <si>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</si>
  <si>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</si>
  <si>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</si>
  <si>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</si>
  <si>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</si>
  <si>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</si>
  <si>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</si>
  <si>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</si>
  <si>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</si>
  <si>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</si>
  <si>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</si>
  <si>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</si>
  <si>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</si>
  <si>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</si>
  <si>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</si>
  <si>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</si>
  <si>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</si>
  <si>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</si>
  <si>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</si>
  <si>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</si>
  <si>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</si>
  <si>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</si>
  <si>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</si>
  <si>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</si>
  <si>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</si>
  <si>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</si>
  <si>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</si>
  <si>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</si>
  <si>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</si>
  <si>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</si>
  <si>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</si>
  <si>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</si>
  <si>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</si>
  <si>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</si>
  <si>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</si>
  <si>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</si>
  <si>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</si>
  <si>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</si>
  <si>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</si>
  <si>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</si>
  <si>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</si>
  <si>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</si>
  <si>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</si>
  <si>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</si>
  <si>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</si>
  <si>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</si>
  <si>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</si>
  <si>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</si>
  <si>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</si>
  <si>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</si>
  <si>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</si>
  <si>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</si>
  <si>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</si>
  <si>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</si>
  <si>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</si>
  <si>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</si>
  <si>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</si>
  <si>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</si>
  <si>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</si>
  <si>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</si>
  <si>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</si>
  <si>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</si>
  <si>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</si>
  <si>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</si>
  <si>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</si>
  <si>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</si>
  <si>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</si>
  <si>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</si>
  <si>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</si>
  <si>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</si>
  <si>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</si>
  <si>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</si>
  <si>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</si>
  <si>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</si>
  <si>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</si>
  <si>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</si>
  <si>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</si>
  <si>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</si>
  <si>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</si>
  <si>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</si>
  <si>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</si>
  <si>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</si>
  <si>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</si>
  <si>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</si>
  <si>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</si>
  <si>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</si>
  <si>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</si>
  <si>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</si>
  <si>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</si>
  <si>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</si>
  <si>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</si>
  <si>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</si>
  <si>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</si>
  <si>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</si>
  <si>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</si>
  <si>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</si>
  <si>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</si>
  <si>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</si>
  <si>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</si>
  <si>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</si>
  <si>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</si>
  <si>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</si>
  <si>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</si>
  <si>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</si>
  <si>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</si>
  <si>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</si>
  <si>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</si>
  <si>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</si>
  <si>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</si>
  <si>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</si>
  <si>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</si>
  <si>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</si>
  <si>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</si>
  <si>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</si>
  <si>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</si>
  <si>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</si>
  <si>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</si>
  <si>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</si>
  <si>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</si>
  <si>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</si>
  <si>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</si>
  <si>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</si>
  <si>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</si>
  <si>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</si>
  <si>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</si>
  <si>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</si>
  <si>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</si>
  <si>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</si>
  <si>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</si>
  <si>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</si>
  <si>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</si>
  <si>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</si>
  <si>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</si>
  <si>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</si>
  <si>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</si>
  <si>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</si>
  <si>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</si>
  <si>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</si>
  <si>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</si>
  <si>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</si>
  <si>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</si>
  <si>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</si>
  <si>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</si>
  <si>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</si>
  <si>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</si>
  <si>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</si>
  <si>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</si>
  <si>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</si>
  <si>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</si>
  <si>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</si>
  <si>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</si>
  <si>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</si>
  <si>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</si>
  <si>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</si>
  <si>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</si>
  <si>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</si>
  <si>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</si>
  <si>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</si>
  <si>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</si>
  <si>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</si>
  <si>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</si>
  <si>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</si>
  <si>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</si>
  <si>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</si>
  <si>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</si>
  <si>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</si>
  <si>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</si>
  <si>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</si>
  <si>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</si>
  <si>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</si>
  <si>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</si>
  <si>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</si>
  <si>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</si>
  <si>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</si>
  <si>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</si>
  <si>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</si>
  <si>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</si>
  <si>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</si>
  <si>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</si>
  <si>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</si>
  <si>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</si>
  <si>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</si>
  <si>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</si>
  <si>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</si>
  <si>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</si>
  <si>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</si>
  <si>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</si>
  <si>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</si>
  <si>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</si>
  <si>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</si>
  <si>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</si>
  <si>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</si>
  <si>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</si>
  <si>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</si>
  <si>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</si>
  <si>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</si>
  <si>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</si>
  <si>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</si>
  <si>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</si>
  <si>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</si>
  <si>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</si>
  <si>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</si>
  <si>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</si>
  <si>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</si>
  <si>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</si>
  <si>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</si>
  <si>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</si>
  <si>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</si>
  <si>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</si>
  <si>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</si>
  <si>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</si>
  <si>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</si>
  <si>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</si>
  <si>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</si>
  <si>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</si>
  <si>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</si>
  <si>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</si>
  <si>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</si>
  <si>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</si>
  <si>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</si>
  <si>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</si>
  <si>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</si>
  <si>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</si>
  <si>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</si>
  <si>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</si>
  <si>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</si>
  <si>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</si>
  <si>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</si>
  <si>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</si>
  <si>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</si>
  <si>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</si>
  <si>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</si>
  <si>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</si>
  <si>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</si>
  <si>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</si>
  <si>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</si>
  <si>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</si>
  <si>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</si>
  <si>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</si>
  <si>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</si>
  <si>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</si>
  <si>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</si>
  <si>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</si>
  <si>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</si>
  <si>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</si>
  <si>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</si>
  <si>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</si>
  <si>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</si>
  <si>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</si>
  <si>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</si>
  <si>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</si>
  <si>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</si>
  <si>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</si>
  <si>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</si>
  <si>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</si>
  <si>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</si>
  <si>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</si>
  <si>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</si>
  <si>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</si>
  <si>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</si>
  <si>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</si>
  <si>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</si>
  <si>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</si>
  <si>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</si>
  <si>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</si>
  <si>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</si>
  <si>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</si>
  <si>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</si>
  <si>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</si>
  <si>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</si>
  <si>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</si>
  <si>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</si>
  <si>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</si>
  <si>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</si>
  <si>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</si>
  <si>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</si>
  <si>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</si>
  <si>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</si>
  <si>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</si>
  <si>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</si>
  <si>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</si>
  <si>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</si>
  <si>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</si>
  <si>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</si>
  <si>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</si>
  <si>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</si>
  <si>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</si>
  <si>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</si>
  <si>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</si>
  <si>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</si>
  <si>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</si>
  <si>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</si>
  <si>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</si>
  <si>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</si>
  <si>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</si>
  <si>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</si>
  <si>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</si>
  <si>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</si>
  <si>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</si>
  <si>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</si>
  <si>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</si>
  <si>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</si>
  <si>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</si>
  <si>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</si>
  <si>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</si>
  <si>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</si>
  <si>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</si>
  <si>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</si>
  <si>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</si>
  <si>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</si>
  <si>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</si>
  <si>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</si>
  <si>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</si>
  <si>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</si>
  <si>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</si>
  <si>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</si>
  <si>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</si>
  <si>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</si>
  <si>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</si>
  <si>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</si>
  <si>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</si>
  <si>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</si>
  <si>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</si>
  <si>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</si>
  <si>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</si>
  <si>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</si>
  <si>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</si>
  <si>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</si>
  <si>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</si>
  <si>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</si>
  <si>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</si>
  <si>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</si>
  <si>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</si>
  <si>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</si>
  <si>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</si>
  <si>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</si>
  <si>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</si>
  <si>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</si>
  <si>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</si>
  <si>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</si>
  <si>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</si>
  <si>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</si>
  <si>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</si>
  <si>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</si>
  <si>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</si>
  <si>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</si>
  <si>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</si>
  <si>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</si>
  <si>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</si>
  <si>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</si>
  <si>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</si>
  <si>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</si>
  <si>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</si>
  <si>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</si>
  <si>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</si>
  <si>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</si>
  <si>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</si>
  <si>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</si>
  <si>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</si>
  <si>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</si>
  <si>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</si>
  <si>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</si>
  <si>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</si>
  <si>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</si>
  <si>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</si>
  <si>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</si>
  <si>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</si>
  <si>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</si>
  <si>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</si>
  <si>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</si>
  <si>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</si>
  <si>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</si>
  <si>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</si>
  <si>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</si>
  <si>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</si>
  <si>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</si>
  <si>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</si>
  <si>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</si>
  <si>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</si>
  <si>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</si>
  <si>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</si>
  <si>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</si>
  <si>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</si>
  <si>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</si>
  <si>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</si>
  <si>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</si>
  <si>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</si>
  <si>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</si>
  <si>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</si>
  <si>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</si>
  <si>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</si>
  <si>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</si>
  <si>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</si>
  <si>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</si>
  <si>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</si>
  <si>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</si>
  <si>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</si>
  <si>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</si>
  <si>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</si>
  <si>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</si>
  <si>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</si>
  <si>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</si>
  <si>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</si>
  <si>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</si>
  <si>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</si>
  <si>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</si>
  <si>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</si>
  <si>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</si>
  <si>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</si>
  <si>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</si>
  <si>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</si>
  <si>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</si>
  <si>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</si>
  <si>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</si>
  <si>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</si>
  <si>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</si>
  <si>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</si>
  <si>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</si>
  <si>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</si>
  <si>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</si>
  <si>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</si>
  <si>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</si>
  <si>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</si>
  <si>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</si>
  <si>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</si>
  <si>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</si>
  <si>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</si>
  <si>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</si>
  <si>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</si>
  <si>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</si>
  <si>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</si>
  <si>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</si>
  <si>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</si>
  <si>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</si>
  <si>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</si>
  <si>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</si>
  <si>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</si>
  <si>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</si>
  <si>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</si>
  <si>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</si>
  <si>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</si>
  <si>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</si>
  <si>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</si>
  <si>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</si>
  <si>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</si>
  <si>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</si>
  <si>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</si>
  <si>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</si>
  <si>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</si>
  <si>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</si>
  <si>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</si>
  <si>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</si>
  <si>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</si>
  <si>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</si>
  <si>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</si>
  <si>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</si>
  <si>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</si>
  <si>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</si>
  <si>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</si>
  <si>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</si>
  <si>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</si>
  <si>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</si>
  <si>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</si>
  <si>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</si>
  <si>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</si>
  <si>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</si>
  <si>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</si>
  <si>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</si>
  <si>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</si>
  <si>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</si>
  <si>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</si>
  <si>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</si>
  <si>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</si>
  <si>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</si>
  <si>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</si>
  <si>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</si>
  <si>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</si>
  <si>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</si>
  <si>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</si>
  <si>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</si>
  <si>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</si>
  <si>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</si>
  <si>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</si>
  <si>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</si>
  <si>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</si>
  <si>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</si>
  <si>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</si>
  <si>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</si>
  <si>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</si>
  <si>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</si>
  <si>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</si>
  <si>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</si>
  <si>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</si>
  <si>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</si>
  <si>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</si>
  <si>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</si>
  <si>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</si>
  <si>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</si>
  <si>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</si>
  <si>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</si>
  <si>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</si>
  <si>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</si>
  <si>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</si>
  <si>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</si>
  <si>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</si>
  <si>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</si>
  <si>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</si>
  <si>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</si>
  <si>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</si>
  <si>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</si>
  <si>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</si>
  <si>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</si>
  <si>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</si>
  <si>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</si>
  <si>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</si>
  <si>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</si>
  <si>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</si>
  <si>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</si>
  <si>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</si>
  <si>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</si>
  <si>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</si>
  <si>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</si>
  <si>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</si>
  <si>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</si>
  <si>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</si>
  <si>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</si>
  <si>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</si>
  <si>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</si>
  <si>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</si>
  <si>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</si>
  <si>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</si>
  <si>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</si>
  <si>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</si>
  <si>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</si>
  <si>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</si>
  <si>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</si>
  <si>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</si>
  <si>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</si>
  <si>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</si>
  <si>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</si>
  <si>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</si>
  <si>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</si>
  <si>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</si>
  <si>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</si>
  <si>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</si>
  <si>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</si>
  <si>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</si>
  <si>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</si>
  <si>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</si>
  <si>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</si>
  <si>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</si>
  <si>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</si>
  <si>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</si>
  <si>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</si>
  <si>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</si>
  <si>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</si>
  <si>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</si>
  <si>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</si>
  <si>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</si>
  <si>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</si>
  <si>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</si>
  <si>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</si>
  <si>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</si>
  <si>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</si>
  <si>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</si>
  <si>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</si>
  <si>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</si>
  <si>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</si>
  <si>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</si>
  <si>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</si>
  <si>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</si>
  <si>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</si>
  <si>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</si>
  <si>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</si>
  <si>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</si>
  <si>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</si>
  <si>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</si>
  <si>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</si>
  <si>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</si>
  <si>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</si>
  <si>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</si>
  <si>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</si>
  <si>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</si>
  <si>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</si>
  <si>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</si>
  <si>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</si>
  <si>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</si>
  <si>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</si>
  <si>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</si>
  <si>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</si>
  <si>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</si>
  <si>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</si>
  <si>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</si>
  <si>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</si>
  <si>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</si>
  <si>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</si>
  <si>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</si>
  <si>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</si>
  <si>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</si>
  <si>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</si>
  <si>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</si>
  <si>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</si>
  <si>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</si>
  <si>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</si>
  <si>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</si>
  <si>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</si>
  <si>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</si>
  <si>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</si>
  <si>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</si>
  <si>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</si>
  <si>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</si>
  <si>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</si>
  <si>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</si>
  <si>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</si>
  <si>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</si>
  <si>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</si>
  <si>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</si>
  <si>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</si>
  <si>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</si>
  <si>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</si>
  <si>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</si>
  <si>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</si>
  <si>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</si>
  <si>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</si>
  <si>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</si>
  <si>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</si>
  <si>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</si>
  <si>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</si>
  <si>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</si>
  <si>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</si>
  <si>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</si>
  <si>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</si>
  <si>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</si>
  <si>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</si>
  <si>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</si>
  <si>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</si>
  <si>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</si>
  <si>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</si>
  <si>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</si>
  <si>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</si>
  <si>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</si>
  <si>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</si>
  <si>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</si>
  <si>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</si>
  <si>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</si>
  <si>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</si>
  <si>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</si>
  <si>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</si>
  <si>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</si>
  <si>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</si>
  <si>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</si>
  <si>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</si>
  <si>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</si>
  <si>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</si>
  <si>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</si>
  <si>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</si>
  <si>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</si>
  <si>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</si>
  <si>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</si>
  <si>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</si>
  <si>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</si>
  <si>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</si>
  <si>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</si>
  <si>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</si>
  <si>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</si>
  <si>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</si>
  <si>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</si>
  <si>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</si>
  <si>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</si>
  <si>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</si>
  <si>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</si>
  <si>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</si>
  <si>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</si>
  <si>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</si>
  <si>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</si>
  <si>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</si>
  <si>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</si>
  <si>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</si>
  <si>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</si>
  <si>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</si>
  <si>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</si>
  <si>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</si>
  <si>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</si>
  <si>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</si>
  <si>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</si>
  <si>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</si>
  <si>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</si>
  <si>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</si>
  <si>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</si>
  <si>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</si>
  <si>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</si>
  <si>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</si>
  <si>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</si>
  <si>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</si>
  <si>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</si>
  <si>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</si>
  <si>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</si>
  <si>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</si>
  <si>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</si>
  <si>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</si>
  <si>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</si>
  <si>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</si>
  <si>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</si>
  <si>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</si>
  <si>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</si>
  <si>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</si>
  <si>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</si>
  <si>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</si>
  <si>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</si>
  <si>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</si>
  <si>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</si>
  <si>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</si>
  <si>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</si>
  <si>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</si>
  <si>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</si>
  <si>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</si>
  <si>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</si>
  <si>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</si>
  <si>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</si>
  <si>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</si>
  <si>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</si>
  <si>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</si>
  <si>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</si>
  <si>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</si>
  <si>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</si>
  <si>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</si>
  <si>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</si>
  <si>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</si>
  <si>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</si>
  <si>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</si>
  <si>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</si>
  <si>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</si>
  <si>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</si>
  <si>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</si>
  <si>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</si>
  <si>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</si>
  <si>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</si>
  <si>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</si>
  <si>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</si>
  <si>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</si>
  <si>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</si>
  <si>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</si>
  <si>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</si>
  <si>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</si>
  <si>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</si>
  <si>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</si>
  <si>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</si>
  <si>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</si>
  <si>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</si>
  <si>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</si>
  <si>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</si>
  <si>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</si>
  <si>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</si>
  <si>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</si>
  <si>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</si>
  <si>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</si>
  <si>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</si>
  <si>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</si>
  <si>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</si>
  <si>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</si>
  <si>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</si>
  <si>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</si>
  <si>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</si>
  <si>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</si>
  <si>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</si>
  <si>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</si>
  <si>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</si>
  <si>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</si>
  <si>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</si>
  <si>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</si>
  <si>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</si>
  <si>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</si>
  <si>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</si>
  <si>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</si>
  <si>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</si>
  <si>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</si>
  <si>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</si>
  <si>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</si>
  <si>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</si>
  <si>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</si>
  <si>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</si>
  <si>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</si>
  <si>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</si>
  <si>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</si>
  <si>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</si>
  <si>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</si>
  <si>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</si>
  <si>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</si>
  <si>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</si>
  <si>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</si>
  <si>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</si>
  <si>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</si>
  <si>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</si>
  <si>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</si>
  <si>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</si>
  <si>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</si>
  <si>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</si>
  <si>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</si>
  <si>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</si>
  <si>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</si>
  <si>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</si>
  <si>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</si>
  <si>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</si>
  <si>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</si>
  <si>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</si>
  <si>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</si>
  <si>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</si>
  <si>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</si>
  <si>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</si>
  <si>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</si>
  <si>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</si>
  <si>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</si>
  <si>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</si>
  <si>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</si>
  <si>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</si>
  <si>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</si>
  <si>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</si>
  <si>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</si>
  <si>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</si>
  <si>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</si>
  <si>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</si>
  <si>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</si>
  <si>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</si>
  <si>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</si>
  <si>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</si>
  <si>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</si>
  <si>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</si>
  <si>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</si>
  <si>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</si>
  <si>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</si>
  <si>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</si>
  <si>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</si>
  <si>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</si>
  <si>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</si>
  <si>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</si>
  <si>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</si>
  <si>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</si>
  <si>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</si>
  <si>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</si>
  <si>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</si>
  <si>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</si>
  <si>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</si>
  <si>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</si>
  <si>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</si>
  <si>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</si>
  <si>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</si>
  <si>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</si>
  <si>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</si>
  <si>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</si>
  <si>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</si>
  <si>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</si>
  <si>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</si>
  <si>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</si>
  <si>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</si>
  <si>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</si>
  <si>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</si>
  <si>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</si>
  <si>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</si>
  <si>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</si>
  <si>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</si>
  <si>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</si>
  <si>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</si>
  <si>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</si>
  <si>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</si>
  <si>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</si>
  <si>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</si>
  <si>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</si>
  <si>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</si>
  <si>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</si>
  <si>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</si>
  <si>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</si>
  <si>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</si>
  <si>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</si>
  <si>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</si>
  <si>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</si>
  <si>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</si>
  <si>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</si>
  <si>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</si>
  <si>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</si>
  <si>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</si>
  <si>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</si>
  <si>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</si>
  <si>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</si>
  <si>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</si>
  <si>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</si>
  <si>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</si>
  <si>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</si>
  <si>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</si>
  <si>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</si>
  <si>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</si>
  <si>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</si>
  <si>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</si>
  <si>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</si>
  <si>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</si>
  <si>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</si>
  <si>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</si>
  <si>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</si>
  <si>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</si>
  <si>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</si>
  <si>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</si>
  <si>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</si>
  <si>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</si>
  <si>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</si>
  <si>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</si>
  <si>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</si>
  <si>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</si>
  <si>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</si>
  <si>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</si>
  <si>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</si>
  <si>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</si>
  <si>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</si>
  <si>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</si>
  <si>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</si>
  <si>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</si>
  <si>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</si>
  <si>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</si>
  <si>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</si>
  <si>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</si>
  <si>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</si>
  <si>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</si>
  <si>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</si>
  <si>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</si>
  <si>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</si>
  <si>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</si>
  <si>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</si>
  <si>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</si>
  <si>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</si>
  <si>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</si>
  <si>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</si>
  <si>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</si>
  <si>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</si>
  <si>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</si>
  <si>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</si>
  <si>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</si>
  <si>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</si>
  <si>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</si>
  <si>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</si>
  <si>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</si>
  <si>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</si>
  <si>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</si>
  <si>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</si>
  <si>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</si>
  <si>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</si>
  <si>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</si>
  <si>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</si>
  <si>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</si>
  <si>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</si>
  <si>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</si>
  <si>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</si>
  <si>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</si>
  <si>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</si>
  <si>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</si>
  <si>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</si>
  <si>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</si>
  <si>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</si>
  <si>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</si>
  <si>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</si>
  <si>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</si>
  <si>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</si>
  <si>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</si>
  <si>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</si>
  <si>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</si>
  <si>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</si>
  <si>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</si>
  <si>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</si>
  <si>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</si>
  <si>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</si>
  <si>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</si>
  <si>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</si>
  <si>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</si>
  <si>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</si>
  <si>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</si>
  <si>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</si>
  <si>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</si>
  <si>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</si>
  <si>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</si>
  <si>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</si>
  <si>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</si>
  <si>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</si>
  <si>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</si>
  <si>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</si>
  <si>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</si>
  <si>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</si>
  <si>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</si>
  <si>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</si>
  <si>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</si>
  <si>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</si>
  <si>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</si>
  <si>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</si>
  <si>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</si>
  <si>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</si>
  <si>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</si>
  <si>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</si>
  <si>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</si>
  <si>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</si>
  <si>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</si>
  <si>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</si>
  <si>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</si>
  <si>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</si>
  <si>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</si>
  <si>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</si>
  <si>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</si>
  <si>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</si>
  <si>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</si>
  <si>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</si>
  <si>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</si>
  <si>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</si>
  <si>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</si>
  <si>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</si>
  <si>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</si>
  <si>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</si>
  <si>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</si>
  <si>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</si>
  <si>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</si>
  <si>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</si>
  <si>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</si>
  <si>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</si>
  <si>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</si>
  <si>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</si>
  <si>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</si>
  <si>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</si>
  <si>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</si>
  <si>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</si>
  <si>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</si>
  <si>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</si>
  <si>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</si>
  <si>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</si>
  <si>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</si>
  <si>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</si>
  <si>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</si>
  <si>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</si>
  <si>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</si>
  <si>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</si>
  <si>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</si>
  <si>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</si>
  <si>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</si>
  <si>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</si>
  <si>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</si>
  <si>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</si>
  <si>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</si>
  <si>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</si>
  <si>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</si>
  <si>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</si>
  <si>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</si>
  <si>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</si>
  <si>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</si>
  <si>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</si>
  <si>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</si>
  <si>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</si>
  <si>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</si>
  <si>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</si>
  <si>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</si>
  <si>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</si>
  <si>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</si>
  <si>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</si>
  <si>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</si>
  <si>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</si>
  <si>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</si>
  <si>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</si>
  <si>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</si>
  <si>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</si>
  <si>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</si>
  <si>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</si>
  <si>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</si>
  <si>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</si>
  <si>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</si>
  <si>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</si>
  <si>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</si>
  <si>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</si>
  <si>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</si>
  <si>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</si>
  <si>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</si>
  <si>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</si>
  <si>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</si>
  <si>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</si>
  <si>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</si>
  <si>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</si>
  <si>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</si>
  <si>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</si>
  <si>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</si>
  <si>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</si>
  <si>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</si>
  <si>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</si>
  <si>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</si>
  <si>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</si>
  <si>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</si>
  <si>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</si>
  <si>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</si>
  <si>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</si>
  <si>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</si>
  <si>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</si>
  <si>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</si>
  <si>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</si>
  <si>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</si>
  <si>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</si>
  <si>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</si>
  <si>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</si>
  <si>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</si>
  <si>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</si>
  <si>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</si>
  <si>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</si>
  <si>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</si>
  <si>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</si>
  <si>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</si>
  <si>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</si>
  <si>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</si>
  <si>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</si>
  <si>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</si>
  <si>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</si>
  <si>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</si>
  <si>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</si>
  <si>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</si>
  <si>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</si>
  <si>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</si>
  <si>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</si>
  <si>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</si>
  <si>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</si>
  <si>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</si>
  <si>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</si>
  <si>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</si>
  <si>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</si>
  <si>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</si>
  <si>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</si>
  <si>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</si>
  <si>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</si>
  <si>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</si>
  <si>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</si>
  <si>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</si>
  <si>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</si>
  <si>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</si>
  <si>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</si>
  <si>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</si>
  <si>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</si>
  <si>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</si>
  <si>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</si>
  <si>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</si>
  <si>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</si>
  <si>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</si>
  <si>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</si>
  <si>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</si>
  <si>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</si>
  <si>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</si>
  <si>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</si>
  <si>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</si>
  <si>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</si>
  <si>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</si>
  <si>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</si>
  <si>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</si>
  <si>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</si>
  <si>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</si>
  <si>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</si>
  <si>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</si>
  <si>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</si>
  <si>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</si>
  <si>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</si>
  <si>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</si>
  <si>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</si>
  <si>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</si>
  <si>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</si>
  <si>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</si>
  <si>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</si>
  <si>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</si>
  <si>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</si>
  <si>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</si>
  <si>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</si>
  <si>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</si>
  <si>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</si>
  <si>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</si>
  <si>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</si>
  <si>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</si>
  <si>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</si>
  <si>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</si>
  <si>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</si>
  <si>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</si>
  <si>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</si>
  <si>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</si>
  <si>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</si>
  <si>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</si>
  <si>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</si>
  <si>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</si>
  <si>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</si>
  <si>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</si>
  <si>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</si>
  <si>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</si>
  <si>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</si>
  <si>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</si>
  <si>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</si>
  <si>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</si>
  <si>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</si>
  <si>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</si>
  <si>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</si>
  <si>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</si>
  <si>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</si>
  <si>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</si>
  <si>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</si>
  <si>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</si>
  <si>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</si>
  <si>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</si>
  <si>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</si>
  <si>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</si>
  <si>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</si>
  <si>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</si>
  <si>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</si>
  <si>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</si>
  <si>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</si>
  <si>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</si>
  <si>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</si>
  <si>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</si>
  <si>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</si>
  <si>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</si>
  <si>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</si>
  <si>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</si>
  <si>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</si>
  <si>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</si>
  <si>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</si>
  <si>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</si>
  <si>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</si>
  <si>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</si>
  <si>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</si>
  <si>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</si>
  <si>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</si>
  <si>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</si>
  <si>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</si>
  <si>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</si>
  <si>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</si>
  <si>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</si>
  <si>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</si>
  <si>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</si>
  <si>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</si>
  <si>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</si>
  <si>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</si>
  <si>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</si>
  <si>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</si>
  <si>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</si>
  <si>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</si>
  <si>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</si>
  <si>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</si>
  <si>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</si>
  <si>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</si>
  <si>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</si>
  <si>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</si>
  <si>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</si>
  <si>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</si>
  <si>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</si>
  <si>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</si>
  <si>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</si>
  <si>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</si>
  <si>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</si>
  <si>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</si>
  <si>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</si>
  <si>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</si>
  <si>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</si>
  <si>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</si>
  <si>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</si>
  <si>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</si>
  <si>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</si>
  <si>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</si>
  <si>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</si>
  <si>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</si>
  <si>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</si>
  <si>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</si>
  <si>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</si>
  <si>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</si>
  <si>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</si>
  <si>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</si>
  <si>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</si>
  <si>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</si>
  <si>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</si>
  <si>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</si>
  <si>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</si>
  <si>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</si>
  <si>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</si>
  <si>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</si>
  <si>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</si>
  <si>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</si>
  <si>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</si>
  <si>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</si>
  <si>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</si>
  <si>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</si>
  <si>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</si>
  <si>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</si>
  <si>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</si>
  <si>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</si>
  <si>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</si>
  <si>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</si>
  <si>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</si>
  <si>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</si>
  <si>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</si>
  <si>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</si>
  <si>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</si>
  <si>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</si>
  <si>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</si>
  <si>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</si>
  <si>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</si>
  <si>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</si>
  <si>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</si>
  <si>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</si>
  <si>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</si>
  <si>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</si>
  <si>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</si>
  <si>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</si>
  <si>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</si>
  <si>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</si>
  <si>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</si>
  <si>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</si>
  <si>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</si>
  <si>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</si>
  <si>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</si>
  <si>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</si>
  <si>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</si>
  <si>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</si>
  <si>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</si>
  <si>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</si>
  <si>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</si>
  <si>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</si>
  <si>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</si>
  <si>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</si>
  <si>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</si>
  <si>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</si>
  <si>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</si>
  <si>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</si>
  <si>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</si>
  <si>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</si>
  <si>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</si>
  <si>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</si>
  <si>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</si>
  <si>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</si>
  <si>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</si>
  <si>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</si>
  <si>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</si>
  <si>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</si>
  <si>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</si>
  <si>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</si>
  <si>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</si>
  <si>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</si>
  <si>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</si>
  <si>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</si>
  <si>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</si>
  <si>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</si>
  <si>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</si>
  <si>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</si>
  <si>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</si>
  <si>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</si>
  <si>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</si>
  <si>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</si>
  <si>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</si>
  <si>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</si>
  <si>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</si>
  <si>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</si>
  <si>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</si>
  <si>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</si>
  <si>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</si>
  <si>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</si>
  <si>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</si>
  <si>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</si>
  <si>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</si>
  <si>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</si>
  <si>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</si>
  <si>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</si>
  <si>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</si>
  <si>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</si>
  <si>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</si>
  <si>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</si>
  <si>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</si>
  <si>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</si>
  <si>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</si>
  <si>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</si>
  <si>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</si>
  <si>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</si>
  <si>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</si>
  <si>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</si>
  <si>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</si>
  <si>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</si>
  <si>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</si>
  <si>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</si>
  <si>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</si>
  <si>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</si>
  <si>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</si>
  <si>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</si>
  <si>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</si>
  <si>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</si>
  <si>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</si>
  <si>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</si>
  <si>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</si>
  <si>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</si>
  <si>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</si>
  <si>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</si>
  <si>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</si>
  <si>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</si>
  <si>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</si>
  <si>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</si>
  <si>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</si>
  <si>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</si>
  <si>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</si>
  <si>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</si>
  <si>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</si>
  <si>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</si>
  <si>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</si>
  <si>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</si>
  <si>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</si>
  <si>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</si>
  <si>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</si>
  <si>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</si>
  <si>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</si>
  <si>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</si>
  <si>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</si>
  <si>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</si>
  <si>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</si>
  <si>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</si>
  <si>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</si>
  <si>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</si>
  <si>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</si>
  <si>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</si>
  <si>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</si>
  <si>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</si>
  <si>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</si>
  <si>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</si>
  <si>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</si>
  <si>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</si>
  <si>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</si>
  <si>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</si>
  <si>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</si>
  <si>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</si>
  <si>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</si>
  <si>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</si>
  <si>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</si>
  <si>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</si>
  <si>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</si>
  <si>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</si>
  <si>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</si>
  <si>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</si>
  <si>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</si>
  <si>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</si>
  <si>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</si>
  <si>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</si>
  <si>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</si>
  <si>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</si>
  <si>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</si>
  <si>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</si>
  <si>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</si>
  <si>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</si>
  <si>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</si>
  <si>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</si>
  <si>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</si>
  <si>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</si>
  <si>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</si>
  <si>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</si>
  <si>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</si>
  <si>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</si>
  <si>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</si>
  <si>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</si>
  <si>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</si>
  <si>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</si>
  <si>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</si>
  <si>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</si>
  <si>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</si>
  <si>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</si>
  <si>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</si>
  <si>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</si>
  <si>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</si>
  <si>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</si>
  <si>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</si>
  <si>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</si>
  <si>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</si>
  <si>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</si>
  <si>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</si>
  <si>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</si>
  <si>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</si>
  <si>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</si>
  <si>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</si>
  <si>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</si>
  <si>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</si>
  <si>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</si>
  <si>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</si>
  <si>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</si>
  <si>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</si>
  <si>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</si>
  <si>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</si>
  <si>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</si>
  <si>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</si>
  <si>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</si>
  <si>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</si>
  <si>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</si>
  <si>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</si>
  <si>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</si>
  <si>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</si>
  <si>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</si>
  <si>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</si>
  <si>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</si>
  <si>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</si>
  <si>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</si>
  <si>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</si>
  <si>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</si>
  <si>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</si>
  <si>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</si>
  <si>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</si>
  <si>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</si>
  <si>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</si>
  <si>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</si>
  <si>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</si>
  <si>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</si>
  <si>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</si>
  <si>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</si>
  <si>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</si>
  <si>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</si>
  <si>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</si>
  <si>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</si>
  <si>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</si>
  <si>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</si>
  <si>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</si>
  <si>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</si>
  <si>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</si>
  <si>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</si>
  <si>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</si>
  <si>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</si>
  <si>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</si>
  <si>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</si>
  <si>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</si>
  <si>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</si>
  <si>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</si>
  <si>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</si>
  <si>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</si>
  <si>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</si>
  <si>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</si>
  <si>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</si>
  <si>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</si>
  <si>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</si>
  <si>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</si>
  <si>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</si>
  <si>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</si>
  <si>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</si>
  <si>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</si>
  <si>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</si>
  <si>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</si>
  <si>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</si>
  <si>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</si>
  <si>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</si>
  <si>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</si>
  <si>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</si>
  <si>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</si>
  <si>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</si>
  <si>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</si>
  <si>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</si>
  <si>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</si>
  <si>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</si>
  <si>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</si>
  <si>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</si>
  <si>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</si>
  <si>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</si>
  <si>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</si>
  <si>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</si>
  <si>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</si>
  <si>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</si>
  <si>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</si>
  <si>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</si>
  <si>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</si>
  <si>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</si>
  <si>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</si>
  <si>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</si>
  <si>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</si>
  <si>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</si>
  <si>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</si>
  <si>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</si>
  <si>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</si>
  <si>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</si>
  <si>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</si>
  <si>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</si>
  <si>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</si>
  <si>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</si>
  <si>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</si>
  <si>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</si>
  <si>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</si>
  <si>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</si>
  <si>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</si>
  <si>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</si>
  <si>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</si>
  <si>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</si>
  <si>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</si>
  <si>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</si>
  <si>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</si>
  <si>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</si>
  <si>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</si>
  <si>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</si>
  <si>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</si>
  <si>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</si>
  <si>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</si>
  <si>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</si>
  <si>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</si>
  <si>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</si>
  <si>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</si>
  <si>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</si>
  <si>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</si>
  <si>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</si>
  <si>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</si>
  <si>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</si>
  <si>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</si>
  <si>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</si>
  <si>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</si>
  <si>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</si>
  <si>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</si>
  <si>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</si>
  <si>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</si>
  <si>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</si>
  <si>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</si>
  <si>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</si>
  <si>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</si>
  <si>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</si>
  <si>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</si>
  <si>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</si>
  <si>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</si>
  <si>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</si>
  <si>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</si>
  <si>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</si>
  <si>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</si>
  <si>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</si>
  <si>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</si>
  <si>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</si>
  <si>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</si>
  <si>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</si>
  <si>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</si>
  <si>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</si>
  <si>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</si>
  <si>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</si>
  <si>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</si>
  <si>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</si>
  <si>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</si>
  <si>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</si>
  <si>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</si>
  <si>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</si>
  <si>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</si>
  <si>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</si>
  <si>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</si>
  <si>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</si>
  <si>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</si>
  <si>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</si>
  <si>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</si>
  <si>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</si>
  <si>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</si>
  <si>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</si>
  <si>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</si>
  <si>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</si>
  <si>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</si>
  <si>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</si>
  <si>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</si>
  <si>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</si>
  <si>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</si>
  <si>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</si>
  <si>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</si>
  <si>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</si>
  <si>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</si>
  <si>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</si>
  <si>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</si>
  <si>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</si>
  <si>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</si>
  <si>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</si>
  <si>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</si>
  <si>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</si>
  <si>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</si>
  <si>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</si>
  <si>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</si>
  <si>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</si>
  <si>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</si>
  <si>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</si>
  <si>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</si>
  <si>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</si>
  <si>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</si>
  <si>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</si>
  <si>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</si>
  <si>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</si>
  <si>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</si>
  <si>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</si>
  <si>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</si>
  <si>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</si>
  <si>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</si>
  <si>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</si>
  <si>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</si>
  <si>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</si>
  <si>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</si>
  <si>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</si>
  <si>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</si>
  <si>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</si>
  <si>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</si>
  <si>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</si>
  <si>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</si>
  <si>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</si>
  <si>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</si>
  <si>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</si>
  <si>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</si>
  <si>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</si>
  <si>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</si>
  <si>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</si>
  <si>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</si>
  <si>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</si>
  <si>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</si>
  <si>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</si>
  <si>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</si>
  <si>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</si>
  <si>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</si>
  <si>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</si>
  <si>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</si>
  <si>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</si>
  <si>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</si>
  <si>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</si>
  <si>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</si>
  <si>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</si>
  <si>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</si>
  <si>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</si>
  <si>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</si>
  <si>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</si>
  <si>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</si>
  <si>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</si>
  <si>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</si>
  <si>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</si>
  <si>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</si>
  <si>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</si>
  <si>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</si>
  <si>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</si>
  <si>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</si>
  <si>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</si>
  <si>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</si>
  <si>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</si>
  <si>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</si>
  <si>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</si>
  <si>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</si>
  <si>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</si>
  <si>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</si>
  <si>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</si>
  <si>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</si>
  <si>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</si>
  <si>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</si>
  <si>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</si>
  <si>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</si>
  <si>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</si>
  <si>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</si>
  <si>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</si>
  <si>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</si>
  <si>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</si>
  <si>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</si>
  <si>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</si>
  <si>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</si>
  <si>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</si>
  <si>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</si>
  <si>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</si>
  <si>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</si>
  <si>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</si>
  <si>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</si>
  <si>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</si>
  <si>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</si>
  <si>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</si>
  <si>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</si>
  <si>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</si>
  <si>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</si>
  <si>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</si>
  <si>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</si>
  <si>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</si>
  <si>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</si>
  <si>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</si>
  <si>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</si>
  <si>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</si>
  <si>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</si>
  <si>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</si>
  <si>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</si>
  <si>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</si>
  <si>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</si>
  <si>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</si>
  <si>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</si>
  <si>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</si>
  <si>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</si>
  <si>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</si>
  <si>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</si>
  <si>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</si>
  <si>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</si>
  <si>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</si>
  <si>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</si>
  <si>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</si>
  <si>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</si>
  <si>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</si>
  <si>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</si>
  <si>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</si>
  <si>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</si>
  <si>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</si>
  <si>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</si>
  <si>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</si>
  <si>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</si>
  <si>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</si>
  <si>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</si>
  <si>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</si>
  <si>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</si>
  <si>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</si>
  <si>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</si>
  <si>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</si>
  <si>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</si>
  <si>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</si>
  <si>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</si>
  <si>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</si>
  <si>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</si>
  <si>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</si>
  <si>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</si>
  <si>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</si>
  <si>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</si>
  <si>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</si>
  <si>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</si>
  <si>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</si>
  <si>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</si>
  <si>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</si>
  <si>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</si>
  <si>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</si>
  <si>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</si>
  <si>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</si>
  <si>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</si>
  <si>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</si>
  <si>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</si>
  <si>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</si>
  <si>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</si>
  <si>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</si>
  <si>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</si>
  <si>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</si>
  <si>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</si>
  <si>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</si>
  <si>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</si>
  <si>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</si>
  <si>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</si>
  <si>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</si>
  <si>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</si>
  <si>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</si>
  <si>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</si>
  <si>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</si>
  <si>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</si>
  <si>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</si>
  <si>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</si>
  <si>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</si>
  <si>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</si>
  <si>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</si>
  <si>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</si>
  <si>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</si>
  <si>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</si>
  <si>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</si>
  <si>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</si>
  <si>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</si>
  <si>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</si>
  <si>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</si>
  <si>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</si>
  <si>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</si>
  <si>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</si>
  <si>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</si>
  <si>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</si>
  <si>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</si>
  <si>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</si>
  <si>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</si>
  <si>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</si>
  <si>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</si>
  <si>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</si>
  <si>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</si>
  <si>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</si>
  <si>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</si>
  <si>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</si>
  <si>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</si>
  <si>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</si>
  <si>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</si>
  <si>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</si>
  <si>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</si>
  <si>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</si>
  <si>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</si>
  <si>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</si>
  <si>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</si>
  <si>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</si>
  <si>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</si>
  <si>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</si>
  <si>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</si>
  <si>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</si>
  <si>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</si>
  <si>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</si>
  <si>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</si>
  <si>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</si>
  <si>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</si>
  <si>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</si>
  <si>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</si>
  <si>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</si>
  <si>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</si>
  <si>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</si>
  <si>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</si>
  <si>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</si>
  <si>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</si>
  <si>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</si>
  <si>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</si>
  <si>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</si>
  <si>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</si>
  <si>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</si>
  <si>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</si>
  <si>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</si>
  <si>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</si>
  <si>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</si>
  <si>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</si>
  <si>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</si>
  <si>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</si>
  <si>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</si>
  <si>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</si>
  <si>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</si>
  <si>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</si>
  <si>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</si>
  <si>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</si>
  <si>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</si>
  <si>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</si>
  <si>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</si>
  <si>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</si>
  <si>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</si>
  <si>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</si>
  <si>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</si>
  <si>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</si>
  <si>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</si>
  <si>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</si>
  <si>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</si>
  <si>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</si>
  <si>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</si>
  <si>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</si>
  <si>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</si>
  <si>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</si>
  <si>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</si>
  <si>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</si>
  <si>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</si>
  <si>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</si>
  <si>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</si>
  <si>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</si>
  <si>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</si>
  <si>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</si>
  <si>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</si>
  <si>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</si>
  <si>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</si>
  <si>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</si>
  <si>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</si>
  <si>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</si>
  <si>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</si>
  <si>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</si>
  <si>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</si>
  <si>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</si>
  <si>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</si>
  <si>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</si>
  <si>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</si>
  <si>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</si>
  <si>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</si>
  <si>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</si>
  <si>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</si>
  <si>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</si>
  <si>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</si>
  <si>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</si>
  <si>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</si>
  <si>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</si>
  <si>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</si>
  <si>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</si>
  <si>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</si>
  <si>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</si>
  <si>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</si>
  <si>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</si>
  <si>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</si>
  <si>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</si>
  <si>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</si>
  <si>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</si>
  <si>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</si>
  <si>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</si>
  <si>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</si>
  <si>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</si>
  <si>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</si>
  <si>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</si>
  <si>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</si>
  <si>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</si>
  <si>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</si>
  <si>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</si>
  <si>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</si>
  <si>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</si>
  <si>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</si>
  <si>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</si>
  <si>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</si>
  <si>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</si>
  <si>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</si>
  <si>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</si>
  <si>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</si>
  <si>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</si>
  <si>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</si>
  <si>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</si>
  <si>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</si>
  <si>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</si>
  <si>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</si>
  <si>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</si>
  <si>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</si>
  <si>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</si>
  <si>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</si>
  <si>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</si>
  <si>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</si>
  <si>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</si>
  <si>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</si>
  <si>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</si>
  <si>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</si>
  <si>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</si>
  <si>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</si>
  <si>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</si>
  <si>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</si>
  <si>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</si>
  <si>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</si>
  <si>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</si>
  <si>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</si>
  <si>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</si>
  <si>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</si>
  <si>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</si>
  <si>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</si>
  <si>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</si>
  <si>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</si>
  <si>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</si>
  <si>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</si>
  <si>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</si>
  <si>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</si>
  <si>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</si>
  <si>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</si>
  <si>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</si>
  <si>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</si>
  <si>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</si>
  <si>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</si>
  <si>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</si>
  <si>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</si>
  <si>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</si>
  <si>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</si>
  <si>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</si>
  <si>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</si>
  <si>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</si>
  <si>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</si>
  <si>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</si>
  <si>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</si>
  <si>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</si>
  <si>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</si>
  <si>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</si>
  <si>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</si>
  <si>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</si>
  <si>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</si>
  <si>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</si>
  <si>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</si>
  <si>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</si>
  <si>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</si>
  <si>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</si>
  <si>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</si>
  <si>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</si>
  <si>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</si>
  <si>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</si>
  <si>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</si>
  <si>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</si>
  <si>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</si>
  <si>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</si>
  <si>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</si>
  <si>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</si>
  <si>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</si>
  <si>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</si>
  <si>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</si>
  <si>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</si>
  <si>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</si>
  <si>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</si>
  <si>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</si>
  <si>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</si>
  <si>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</si>
  <si>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</si>
  <si>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</si>
  <si>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</si>
  <si>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</si>
  <si>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</si>
  <si>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</si>
  <si>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</si>
  <si>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</si>
  <si>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</si>
  <si>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</si>
  <si>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</si>
  <si>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</si>
  <si>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</si>
  <si>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</si>
  <si>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</si>
  <si>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</si>
  <si>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</si>
  <si>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</si>
  <si>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</si>
  <si>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</si>
  <si>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</si>
  <si>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</si>
  <si>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</si>
  <si>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</si>
  <si>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</si>
  <si>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</si>
  <si>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</si>
  <si>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</si>
  <si>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</si>
  <si>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</si>
  <si>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</si>
  <si>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</si>
  <si>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</si>
  <si>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</si>
  <si>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</si>
  <si>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</si>
  <si>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</si>
  <si>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</si>
  <si>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</si>
  <si>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</si>
  <si>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</si>
  <si>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</si>
  <si>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</si>
  <si>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</si>
  <si>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</si>
  <si>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</si>
  <si>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</si>
  <si>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</si>
  <si>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</si>
  <si>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</si>
  <si>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</si>
  <si>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</si>
  <si>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</si>
  <si>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</si>
  <si>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</si>
  <si>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</si>
  <si>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</si>
  <si>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</si>
  <si>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</si>
  <si>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</si>
  <si>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</si>
  <si>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</si>
  <si>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</si>
  <si>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</si>
  <si>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</si>
  <si>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</si>
  <si>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</si>
  <si>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</si>
  <si>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</si>
  <si>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</si>
  <si>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</si>
  <si>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</si>
  <si>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</si>
  <si>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</si>
  <si>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</si>
  <si>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</si>
  <si>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</si>
  <si>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</si>
  <si>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</si>
  <si>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</si>
  <si>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</si>
  <si>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</si>
  <si>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</si>
  <si>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</si>
  <si>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</si>
  <si>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</si>
  <si>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</si>
  <si>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</si>
  <si>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</si>
  <si>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</si>
  <si>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</si>
  <si>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</si>
  <si>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</si>
  <si>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</si>
  <si>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</si>
  <si>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</si>
  <si>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</si>
  <si>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</si>
  <si>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</si>
  <si>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</si>
  <si>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</si>
  <si>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</si>
  <si>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</si>
  <si>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</si>
  <si>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</si>
  <si>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</si>
  <si>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</si>
  <si>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</si>
  <si>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</si>
  <si>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</si>
  <si>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</si>
  <si>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</si>
  <si>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</si>
  <si>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</si>
  <si>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</si>
  <si>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</si>
  <si>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</si>
  <si>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</si>
  <si>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</si>
  <si>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</si>
  <si>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</si>
  <si>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</si>
  <si>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</si>
  <si>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</si>
  <si>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</si>
  <si>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</si>
  <si>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</si>
  <si>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</si>
  <si>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</si>
  <si>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</si>
  <si>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</si>
  <si>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</si>
  <si>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</si>
  <si>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</si>
  <si>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</si>
  <si>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</si>
  <si>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</si>
  <si>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</si>
  <si>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</si>
  <si>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</si>
  <si>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</si>
  <si>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</si>
  <si>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</si>
  <si>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</si>
  <si>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</si>
  <si>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</si>
  <si>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</si>
  <si>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</si>
  <si>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</si>
  <si>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</si>
  <si>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</si>
  <si>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</si>
  <si>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</si>
  <si>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</si>
  <si>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</si>
  <si>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</si>
  <si>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</si>
  <si>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</si>
  <si>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</si>
  <si>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</si>
  <si>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</si>
  <si>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</si>
  <si>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</si>
  <si>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</si>
  <si>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</si>
  <si>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</si>
  <si>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</si>
  <si>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</si>
  <si>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</si>
  <si>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</si>
  <si>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</si>
  <si>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</si>
  <si>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</si>
  <si>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</si>
  <si>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</si>
  <si>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</si>
  <si>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</si>
  <si>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</si>
  <si>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</si>
  <si>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</si>
  <si>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</si>
  <si>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</si>
  <si>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</si>
  <si>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</si>
  <si>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</si>
  <si>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</si>
  <si>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</si>
  <si>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</si>
  <si>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</si>
  <si>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</si>
  <si>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</si>
  <si>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</si>
  <si>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</si>
  <si>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</si>
  <si>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</si>
  <si>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</si>
  <si>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</si>
  <si>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</si>
  <si>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</si>
  <si>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</si>
  <si>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</si>
  <si>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</si>
  <si>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</si>
  <si>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</si>
  <si>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</si>
  <si>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</si>
  <si>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</si>
  <si>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</si>
  <si>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</si>
  <si>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</si>
  <si>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</si>
  <si>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</si>
  <si>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</si>
  <si>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</si>
  <si>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</si>
  <si>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</si>
  <si>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</si>
  <si>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</si>
  <si>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</si>
  <si>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</si>
  <si>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</si>
  <si>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</si>
  <si>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</si>
  <si>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</si>
  <si>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</si>
  <si>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</si>
  <si>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</si>
  <si>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</si>
  <si>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</si>
  <si>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</si>
  <si>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</si>
  <si>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</si>
  <si>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</si>
  <si>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</si>
  <si>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</si>
  <si>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</si>
  <si>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</si>
  <si>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</si>
  <si>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</si>
  <si>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</si>
  <si>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</si>
  <si>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</si>
  <si>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</si>
  <si>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</si>
  <si>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</si>
  <si>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</si>
  <si>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</si>
  <si>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</si>
  <si>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</si>
  <si>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</si>
  <si>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</si>
  <si>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</si>
  <si>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</si>
  <si>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</si>
  <si>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</si>
  <si>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</si>
  <si>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</si>
  <si>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</si>
  <si>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</si>
  <si>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</si>
  <si>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</si>
  <si>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</si>
  <si>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</si>
  <si>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</si>
  <si>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</si>
  <si>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</si>
  <si>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</si>
  <si>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</si>
  <si>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</si>
  <si>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</si>
  <si>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</si>
  <si>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</si>
  <si>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</si>
  <si>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</si>
  <si>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</si>
  <si>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</si>
  <si>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</si>
  <si>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</si>
  <si>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</si>
  <si>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</si>
  <si>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</si>
  <si>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</si>
  <si>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</si>
  <si>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</si>
  <si>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</si>
  <si>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</si>
  <si>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</si>
  <si>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</si>
  <si>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</si>
  <si>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Order_ID</t>
  </si>
  <si>
    <t>Customer_ID</t>
  </si>
  <si>
    <t>Unit_Price</t>
  </si>
  <si>
    <t>Shipping_Address</t>
  </si>
  <si>
    <t>Payment_Method</t>
  </si>
  <si>
    <t>Order_Status</t>
  </si>
  <si>
    <t>Tracking_Number</t>
  </si>
  <si>
    <t>Coupon_Code</t>
  </si>
  <si>
    <t>Referral_Source</t>
  </si>
  <si>
    <t>Total_Price</t>
  </si>
  <si>
    <t>ItemsIn_Cart</t>
  </si>
  <si>
    <t>Count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</si>
  <si>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</si>
  <si>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</si>
  <si>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</si>
  <si>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</si>
  <si>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</si>
  <si>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</si>
  <si>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</si>
  <si>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</si>
  <si>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</si>
  <si>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</t>
  </si>
  <si>
    <t>Max</t>
  </si>
  <si>
    <t>Sum</t>
  </si>
  <si>
    <t>Q1</t>
  </si>
  <si>
    <t>Q3</t>
  </si>
  <si>
    <t>IQR</t>
  </si>
  <si>
    <t>LOWER BOUND</t>
  </si>
  <si>
    <t>UPPER BOUND</t>
  </si>
  <si>
    <t>Freeship</t>
  </si>
  <si>
    <t>No Coupon</t>
  </si>
  <si>
    <t>Save10</t>
  </si>
  <si>
    <t>Winter15</t>
  </si>
  <si>
    <t>Dataset Overview</t>
  </si>
  <si>
    <t>This analysis was carried out on an e-commerce dataset containing 1,200 orders across 14 columns. The goal was to understand patterns, trends, and distributions within the data.</t>
  </si>
  <si>
    <t>1. General Order Patterns</t>
  </si>
  <si>
    <t>The average order value was $1,053.97 while the median was $823.62. The difference between these two figures suggests that a small number of high-value orders are pulling the average upward. Most customers ordered between 1 to 5 items, with 3 being the most common quantity.</t>
  </si>
  <si>
    <t>2. Product Performance</t>
  </si>
  <si>
    <t>Printer and Chair were the top performing categories, generating revenues of $195,612.61 and $195,620.11 respectively. Phone was the lowest performing product with only $151,722.39 in revenue and 156 orders. Overall, revenue was fairly balanced across all product categories, indicating consistent customer demand.</t>
  </si>
  <si>
    <t>3. Outliers</t>
  </si>
  <si>
    <t>Eight orders were identified as statistical outliers, all with a Total Price above $3,330.41. Interestingly, all outlier orders had a quantity of 5 items, suggesting that bulk purchases are the main driver of unusually high order values.</t>
  </si>
  <si>
    <t>4. Customer &amp; Referral Performance</t>
  </si>
  <si>
    <t>Instagram was the strongest customer acquisition channel, bringing in 259 orders and $275,285.45 in revenue. The Referral channel had the lowest performance with 222 orders and $226,815.58 in revenue. Average cart size was consistent across all channels, ranging between 5.3 and 5.6 items.</t>
  </si>
  <si>
    <t>5. Discount Code Performance</t>
  </si>
  <si>
    <t>FREESHIP was the most popular coupon code with 313 orders and $335,036.99 in revenue. SAVE10 had the least usage with 286 orders. Despite differences in order count, average order values were similar across all coupon codes, ranging between $1,035 and $1,070, suggesting discounts did not significantly affect spending behavior.</t>
  </si>
  <si>
    <t>6. Overall Summary</t>
  </si>
  <si>
    <t>The business shows healthy and balanced performance across products and channels. Instagram should be prioritized as a marketing channel. Printer and Chair categories deserve more investment. The FREESHIP coupon is clearly the most attractive offer to customers.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</si>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</sst>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72" formatCode="&quot;$&quot;#,##0.00"/>
    <numFmt numFmtId="178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49" fontId="0" fillId="0" borderId="0" xfId="0" applyNumberFormat="1"/>
    <xf numFmtId="0" fontId="1" fillId="0" borderId="0" xfId="0" applyFont="1"/>
    <xf numFmtId="2" fontId="1" fillId="0" borderId="0" xfId="0" applyNumberFormat="1" applyFont="1"/>
    <xf numFmtId="172" fontId="0" fillId="0" borderId="0" xfId="0" applyNumberFormat="1"/>
    <xf numFmtId="0" fontId="3" fillId="0" borderId="0" xfId="0" applyFont="1"/>
    <xf numFmtId="172" fontId="1" fillId="0" borderId="0" xfId="0" applyNumberFormat="1" applyFont="1"/>
    <xf numFmtId="0" fontId="0" fillId="0" borderId="0" xfId="0" applyAlignment="1">
      <alignment horizontal="center" vertical="center"/>
    </xf>
    <xf numFmtId="0" fontId="1" fillId="3" borderId="2" xfId="0" applyNumberFormat="1" applyFont="1" applyFill="1" applyBorder="1"/>
    <xf numFmtId="0" fontId="1" fillId="2" borderId="2" xfId="0" applyNumberFormat="1" applyFont="1" applyFill="1" applyBorder="1"/>
    <xf numFmtId="0" fontId="1" fillId="2" borderId="5" xfId="0" applyNumberFormat="1" applyFont="1" applyFill="1" applyBorder="1"/>
    <xf numFmtId="172" fontId="1" fillId="3" borderId="4" xfId="0" applyNumberFormat="1" applyFont="1" applyFill="1" applyBorder="1"/>
    <xf numFmtId="172" fontId="1" fillId="2" borderId="4" xfId="0" applyNumberFormat="1" applyFont="1" applyFill="1" applyBorder="1"/>
    <xf numFmtId="172" fontId="1" fillId="2" borderId="7" xfId="0" applyNumberFormat="1" applyFont="1" applyFill="1" applyBorder="1"/>
    <xf numFmtId="0" fontId="1" fillId="3" borderId="3" xfId="0" applyFont="1" applyFill="1" applyBorder="1"/>
    <xf numFmtId="0" fontId="1" fillId="2" borderId="3" xfId="0" applyFont="1" applyFill="1" applyBorder="1"/>
    <xf numFmtId="0" fontId="1" fillId="2" borderId="6" xfId="0" applyFont="1" applyFill="1" applyBorder="1"/>
    <xf numFmtId="49" fontId="1" fillId="3" borderId="3" xfId="0" applyNumberFormat="1" applyFont="1" applyFill="1" applyBorder="1"/>
    <xf numFmtId="49" fontId="1" fillId="2" borderId="3" xfId="0" applyNumberFormat="1" applyFont="1" applyFill="1" applyBorder="1"/>
    <xf numFmtId="49" fontId="1" fillId="2" borderId="6" xfId="0" applyNumberFormat="1" applyFont="1" applyFill="1" applyBorder="1"/>
    <xf numFmtId="172" fontId="3" fillId="0" borderId="0" xfId="0" applyNumberFormat="1" applyFont="1"/>
    <xf numFmtId="178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10">
    <dxf>
      <numFmt numFmtId="30" formatCode="@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700591"/>
      <color rgb="FF844ACA"/>
      <color rgb="FFEFC3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Total Revenue by Product Category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EDA!$B$29:$B$37</c:f>
              <c:strCache>
                <c:ptCount val="9"/>
                <c:pt idx="2">
                  <c:v>Monitor</c:v>
                </c:pt>
                <c:pt idx="3">
                  <c:v>Phone</c:v>
                </c:pt>
                <c:pt idx="4">
                  <c:v>Laptop</c:v>
                </c:pt>
                <c:pt idx="5">
                  <c:v>Tablet</c:v>
                </c:pt>
                <c:pt idx="6">
                  <c:v>Chair</c:v>
                </c:pt>
                <c:pt idx="7">
                  <c:v>Desk</c:v>
                </c:pt>
                <c:pt idx="8">
                  <c:v>Printer</c:v>
                </c:pt>
              </c:strCache>
            </c:strRef>
          </c:cat>
          <c:val>
            <c:numRef>
              <c:f>EDA!$E$29:$E$37</c:f>
              <c:numCache>
                <c:formatCode>General</c:formatCode>
                <c:ptCount val="9"/>
                <c:pt idx="2" formatCode="&quot;$&quot;#,##0.00">
                  <c:v>175651.40999999997</c:v>
                </c:pt>
                <c:pt idx="3" formatCode="&quot;$&quot;#,##0.00">
                  <c:v>151722.39000000001</c:v>
                </c:pt>
                <c:pt idx="4" formatCode="&quot;$&quot;#,##0.00">
                  <c:v>192126.55999999994</c:v>
                </c:pt>
                <c:pt idx="5" formatCode="&quot;$&quot;#,##0.00">
                  <c:v>186568.95000000007</c:v>
                </c:pt>
                <c:pt idx="6" formatCode="&quot;$&quot;#,##0.00">
                  <c:v>195620.11000000002</c:v>
                </c:pt>
                <c:pt idx="7" formatCode="&quot;$&quot;#,##0.00">
                  <c:v>167459.93</c:v>
                </c:pt>
                <c:pt idx="8" formatCode="&quot;$&quot;#,##0.00">
                  <c:v>195612.60999999996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A-4BB0-AE41-979F39120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8939103"/>
        <c:axId val="1378941023"/>
      </c:barChart>
      <c:catAx>
        <c:axId val="137893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941023"/>
        <c:crosses val="autoZero"/>
        <c:auto val="1"/>
        <c:lblAlgn val="ctr"/>
        <c:lblOffset val="100"/>
        <c:noMultiLvlLbl val="0"/>
      </c:catAx>
      <c:valAx>
        <c:axId val="137894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93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Orders by Referral Source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D8-4168-9308-E5CD62E0EFB4}"/>
              </c:ext>
            </c:extLst>
          </c:dPt>
          <c:dPt>
            <c:idx val="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FD8-4168-9308-E5CD62E0EFB4}"/>
              </c:ext>
            </c:extLst>
          </c:dPt>
          <c:dPt>
            <c:idx val="2"/>
            <c:bubble3D val="0"/>
            <c:spPr>
              <a:solidFill>
                <a:srgbClr val="844AC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D8-4168-9308-E5CD62E0EF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FD8-4168-9308-E5CD62E0EF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&amp; Observation '!$B$20:$B$24</c:f>
              <c:strCache>
                <c:ptCount val="5"/>
                <c:pt idx="0">
                  <c:v>Instagram</c:v>
                </c:pt>
                <c:pt idx="1">
                  <c:v>Facebook</c:v>
                </c:pt>
                <c:pt idx="2">
                  <c:v>Email</c:v>
                </c:pt>
                <c:pt idx="3">
                  <c:v>Referral</c:v>
                </c:pt>
                <c:pt idx="4">
                  <c:v>Google</c:v>
                </c:pt>
              </c:strCache>
            </c:strRef>
          </c:cat>
          <c:val>
            <c:numRef>
              <c:f>'Summary &amp; Observation '!$E$20:$E$24</c:f>
              <c:numCache>
                <c:formatCode>"$"#,##0.00</c:formatCode>
                <c:ptCount val="5"/>
                <c:pt idx="0">
                  <c:v>275285.45000000007</c:v>
                </c:pt>
                <c:pt idx="1">
                  <c:v>250410.9</c:v>
                </c:pt>
                <c:pt idx="2">
                  <c:v>261808.55000000002</c:v>
                </c:pt>
                <c:pt idx="3">
                  <c:v>226815.5799999999</c:v>
                </c:pt>
                <c:pt idx="4">
                  <c:v>250441.47999999998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8-4168-9308-E5CD62E0EFB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Revenue by Discount Code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'Summary &amp; Observation '!$B$32:$B$35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'Summary &amp; Observation '!$D$32:$D$35</c:f>
              <c:numCache>
                <c:formatCode>"$"#,##0.00</c:formatCode>
                <c:ptCount val="4"/>
                <c:pt idx="0">
                  <c:v>335036.99000000028</c:v>
                </c:pt>
                <c:pt idx="1">
                  <c:v>322401.40999999992</c:v>
                </c:pt>
                <c:pt idx="2">
                  <c:v>304840.02</c:v>
                </c:pt>
                <c:pt idx="3">
                  <c:v>302483.54000000021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3-4578-AB4D-63EB77ACA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5420895"/>
        <c:axId val="245415135"/>
      </c:barChart>
      <c:catAx>
        <c:axId val="2454208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15135"/>
        <c:crosses val="autoZero"/>
        <c:auto val="1"/>
        <c:lblAlgn val="ctr"/>
        <c:lblOffset val="100"/>
        <c:noMultiLvlLbl val="0"/>
      </c:catAx>
      <c:valAx>
        <c:axId val="245415135"/>
        <c:scaling>
          <c:orientation val="minMax"/>
        </c:scaling>
        <c:delete val="0"/>
        <c:axPos val="b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2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15240</xdr:rowOff>
    </xdr:from>
    <xdr:to>
      <xdr:col>25</xdr:col>
      <xdr:colOff>38100</xdr:colOff>
      <xdr:row>3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676FAA7-6542-4FDD-90F6-052D55E0B438}"/>
            </a:ext>
          </a:extLst>
        </xdr:cNvPr>
        <xdr:cNvSpPr/>
      </xdr:nvSpPr>
      <xdr:spPr>
        <a:xfrm>
          <a:off x="15240" y="15240"/>
          <a:ext cx="15781020" cy="5715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1071244</xdr:colOff>
      <xdr:row>0</xdr:row>
      <xdr:rowOff>0</xdr:rowOff>
    </xdr:from>
    <xdr:to>
      <xdr:col>8</xdr:col>
      <xdr:colOff>577532</xdr:colOff>
      <xdr:row>3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F497F7-A600-C027-592F-674E10A1C778}"/>
            </a:ext>
          </a:extLst>
        </xdr:cNvPr>
        <xdr:cNvSpPr txBox="1"/>
      </xdr:nvSpPr>
      <xdr:spPr>
        <a:xfrm>
          <a:off x="1071244" y="0"/>
          <a:ext cx="13285788" cy="555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tx1">
                  <a:lumMod val="95000"/>
                  <a:lumOff val="5000"/>
                </a:schemeClr>
              </a:solidFill>
            </a:rPr>
            <a:t>EXPLORATORY DATA ANALYSIS</a:t>
          </a:r>
          <a:r>
            <a:rPr lang="en-US" sz="1800" b="1" baseline="0">
              <a:solidFill>
                <a:schemeClr val="tx1">
                  <a:lumMod val="95000"/>
                  <a:lumOff val="5000"/>
                </a:schemeClr>
              </a:solidFill>
            </a:rPr>
            <a:t>| DECODELABS_PROJECT 2| MAY BATCH 2026</a:t>
          </a:r>
          <a:endParaRPr lang="en-US" sz="18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</xdr:col>
      <xdr:colOff>1505586</xdr:colOff>
      <xdr:row>1</xdr:row>
      <xdr:rowOff>159703</xdr:rowOff>
    </xdr:from>
    <xdr:to>
      <xdr:col>10</xdr:col>
      <xdr:colOff>116840</xdr:colOff>
      <xdr:row>3</xdr:row>
      <xdr:rowOff>75883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5BAADA9-2352-5A16-FAD5-5BB6C49DCC9A}"/>
            </a:ext>
          </a:extLst>
        </xdr:cNvPr>
        <xdr:cNvSpPr txBox="1"/>
      </xdr:nvSpPr>
      <xdr:spPr>
        <a:xfrm>
          <a:off x="4069399" y="342266"/>
          <a:ext cx="10057129" cy="281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  <a:latin typeface="Bookman Old Style" panose="02050604050505020204" pitchFamily="18" charset="0"/>
            </a:rPr>
            <a:t>Analyst: Abu Halimat Omoh | Date:</a:t>
          </a:r>
          <a:r>
            <a:rPr lang="en-US" sz="1100" baseline="0">
              <a:solidFill>
                <a:schemeClr val="tx1">
                  <a:lumMod val="85000"/>
                  <a:lumOff val="15000"/>
                </a:schemeClr>
              </a:solidFill>
              <a:latin typeface="Bookman Old Style" panose="02050604050505020204" pitchFamily="18" charset="0"/>
            </a:rPr>
            <a:t> 28th May 2026 | Dataset: 1,200 rows &amp; 14 Columns | Tools: Excel</a:t>
          </a:r>
          <a:endParaRPr lang="en-US" sz="1100">
            <a:solidFill>
              <a:schemeClr val="tx1">
                <a:lumMod val="85000"/>
                <a:lumOff val="15000"/>
              </a:schemeClr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0</xdr:col>
      <xdr:colOff>30480</xdr:colOff>
      <xdr:row>4</xdr:row>
      <xdr:rowOff>22860</xdr:rowOff>
    </xdr:from>
    <xdr:to>
      <xdr:col>22</xdr:col>
      <xdr:colOff>571500</xdr:colOff>
      <xdr:row>5</xdr:row>
      <xdr:rowOff>167640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FAC8A2F-27CD-1567-F5FE-830BC85C3062}"/>
            </a:ext>
          </a:extLst>
        </xdr:cNvPr>
        <xdr:cNvSpPr/>
      </xdr:nvSpPr>
      <xdr:spPr>
        <a:xfrm>
          <a:off x="30480" y="754380"/>
          <a:ext cx="15521940" cy="327660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1616074</xdr:colOff>
      <xdr:row>4</xdr:row>
      <xdr:rowOff>38418</xdr:rowOff>
    </xdr:from>
    <xdr:to>
      <xdr:col>6</xdr:col>
      <xdr:colOff>1251268</xdr:colOff>
      <xdr:row>5</xdr:row>
      <xdr:rowOff>167958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E1CDD69-8BA1-C7BF-788B-7DD830D13E70}"/>
            </a:ext>
          </a:extLst>
        </xdr:cNvPr>
        <xdr:cNvSpPr txBox="1"/>
      </xdr:nvSpPr>
      <xdr:spPr>
        <a:xfrm>
          <a:off x="5973762" y="768668"/>
          <a:ext cx="5842319" cy="3121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n>
                <a:noFill/>
              </a:ln>
              <a:solidFill>
                <a:schemeClr val="bg1">
                  <a:lumMod val="95000"/>
                </a:schemeClr>
              </a:solidFill>
            </a:rPr>
            <a:t>Descriptive</a:t>
          </a:r>
          <a:r>
            <a:rPr lang="en-US" sz="1800" b="1" baseline="0">
              <a:ln>
                <a:noFill/>
              </a:ln>
              <a:solidFill>
                <a:schemeClr val="bg1">
                  <a:lumMod val="95000"/>
                </a:schemeClr>
              </a:solidFill>
            </a:rPr>
            <a:t> Statistics</a:t>
          </a:r>
          <a:endParaRPr lang="en-US" sz="1800" b="1">
            <a:ln>
              <a:noFill/>
            </a:ln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22</xdr:col>
      <xdr:colOff>541020</xdr:colOff>
      <xdr:row>8</xdr:row>
      <xdr:rowOff>144780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BB40BBE-3619-D40C-C3BD-15822F90051F}"/>
            </a:ext>
          </a:extLst>
        </xdr:cNvPr>
        <xdr:cNvSpPr/>
      </xdr:nvSpPr>
      <xdr:spPr>
        <a:xfrm>
          <a:off x="0" y="1280160"/>
          <a:ext cx="15544800" cy="32766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>
            <a:solidFill>
              <a:srgbClr val="700591"/>
            </a:solidFill>
          </a:endParaRPr>
        </a:p>
      </xdr:txBody>
    </xdr:sp>
    <xdr:clientData/>
  </xdr:twoCellAnchor>
  <xdr:twoCellAnchor>
    <xdr:from>
      <xdr:col>0</xdr:col>
      <xdr:colOff>2049780</xdr:colOff>
      <xdr:row>7</xdr:row>
      <xdr:rowOff>76200</xdr:rowOff>
    </xdr:from>
    <xdr:to>
      <xdr:col>4</xdr:col>
      <xdr:colOff>579120</xdr:colOff>
      <xdr:row>8</xdr:row>
      <xdr:rowOff>160020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FBC8CD-4744-4D0F-7B88-673504416F0A}"/>
            </a:ext>
          </a:extLst>
        </xdr:cNvPr>
        <xdr:cNvSpPr txBox="1"/>
      </xdr:nvSpPr>
      <xdr:spPr>
        <a:xfrm>
          <a:off x="2049780" y="1354138"/>
          <a:ext cx="5950903" cy="2663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>
                  <a:lumMod val="95000"/>
                </a:schemeClr>
              </a:solidFill>
            </a:rPr>
            <a:t>Total Price</a:t>
          </a:r>
        </a:p>
      </xdr:txBody>
    </xdr:sp>
    <xdr:clientData/>
  </xdr:twoCellAnchor>
  <xdr:twoCellAnchor>
    <xdr:from>
      <xdr:col>3</xdr:col>
      <xdr:colOff>1973580</xdr:colOff>
      <xdr:row>7</xdr:row>
      <xdr:rowOff>76200</xdr:rowOff>
    </xdr:from>
    <xdr:to>
      <xdr:col>8</xdr:col>
      <xdr:colOff>411480</xdr:colOff>
      <xdr:row>8</xdr:row>
      <xdr:rowOff>160020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6DB4421-8BAE-C520-0DE6-2771ABFB498D}"/>
            </a:ext>
          </a:extLst>
        </xdr:cNvPr>
        <xdr:cNvSpPr txBox="1"/>
      </xdr:nvSpPr>
      <xdr:spPr>
        <a:xfrm>
          <a:off x="7010400" y="1356360"/>
          <a:ext cx="41910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</a:rPr>
            <a:t>Unit Price</a:t>
          </a:r>
        </a:p>
      </xdr:txBody>
    </xdr:sp>
    <xdr:clientData/>
  </xdr:twoCellAnchor>
  <xdr:twoCellAnchor>
    <xdr:from>
      <xdr:col>6</xdr:col>
      <xdr:colOff>1850707</xdr:colOff>
      <xdr:row>7</xdr:row>
      <xdr:rowOff>54293</xdr:rowOff>
    </xdr:from>
    <xdr:to>
      <xdr:col>10</xdr:col>
      <xdr:colOff>8572</xdr:colOff>
      <xdr:row>8</xdr:row>
      <xdr:rowOff>138113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473F618-89F6-712D-691D-29032C02D527}"/>
            </a:ext>
          </a:extLst>
        </xdr:cNvPr>
        <xdr:cNvSpPr txBox="1"/>
      </xdr:nvSpPr>
      <xdr:spPr>
        <a:xfrm>
          <a:off x="11423332" y="1332231"/>
          <a:ext cx="2594928" cy="2663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bg1"/>
              </a:solidFill>
            </a:rPr>
            <a:t>Quantity</a:t>
          </a:r>
        </a:p>
        <a:p>
          <a:endParaRPr lang="en-US" sz="14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24</xdr:row>
      <xdr:rowOff>175260</xdr:rowOff>
    </xdr:from>
    <xdr:to>
      <xdr:col>22</xdr:col>
      <xdr:colOff>541020</xdr:colOff>
      <xdr:row>26</xdr:row>
      <xdr:rowOff>174625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1D572C1-3AAD-A6EF-CAE8-2BBC5DEE439C}"/>
            </a:ext>
          </a:extLst>
        </xdr:cNvPr>
        <xdr:cNvSpPr/>
      </xdr:nvSpPr>
      <xdr:spPr>
        <a:xfrm>
          <a:off x="0" y="4556760"/>
          <a:ext cx="21884958" cy="364490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1551304</xdr:colOff>
      <xdr:row>25</xdr:row>
      <xdr:rowOff>61913</xdr:rowOff>
    </xdr:from>
    <xdr:to>
      <xdr:col>6</xdr:col>
      <xdr:colOff>1309688</xdr:colOff>
      <xdr:row>26</xdr:row>
      <xdr:rowOff>145733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71D7800-D573-D052-C473-7C33F7BE8AA9}"/>
            </a:ext>
          </a:extLst>
        </xdr:cNvPr>
        <xdr:cNvSpPr txBox="1"/>
      </xdr:nvSpPr>
      <xdr:spPr>
        <a:xfrm>
          <a:off x="5908992" y="4625976"/>
          <a:ext cx="5965509" cy="2663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n>
                <a:noFill/>
              </a:ln>
              <a:solidFill>
                <a:schemeClr val="bg1">
                  <a:lumMod val="95000"/>
                </a:schemeClr>
              </a:solidFill>
            </a:rPr>
            <a:t>Strategic</a:t>
          </a:r>
          <a:r>
            <a:rPr lang="en-US" sz="1600" b="1">
              <a:solidFill>
                <a:schemeClr val="bg1">
                  <a:lumMod val="95000"/>
                </a:schemeClr>
              </a:solidFill>
            </a:rPr>
            <a:t> Performance Trends by Category</a:t>
          </a:r>
        </a:p>
      </xdr:txBody>
    </xdr:sp>
    <xdr:clientData/>
  </xdr:twoCellAnchor>
  <xdr:twoCellAnchor>
    <xdr:from>
      <xdr:col>0</xdr:col>
      <xdr:colOff>0</xdr:colOff>
      <xdr:row>27</xdr:row>
      <xdr:rowOff>104140</xdr:rowOff>
    </xdr:from>
    <xdr:to>
      <xdr:col>25</xdr:col>
      <xdr:colOff>22860</xdr:colOff>
      <xdr:row>29</xdr:row>
      <xdr:rowOff>63500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E0DCDA0-48EC-A167-1810-7C1BD6FB991B}"/>
            </a:ext>
          </a:extLst>
        </xdr:cNvPr>
        <xdr:cNvSpPr/>
      </xdr:nvSpPr>
      <xdr:spPr>
        <a:xfrm>
          <a:off x="0" y="5033328"/>
          <a:ext cx="24192548" cy="32448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2246314</xdr:colOff>
      <xdr:row>27</xdr:row>
      <xdr:rowOff>180975</xdr:rowOff>
    </xdr:from>
    <xdr:to>
      <xdr:col>1</xdr:col>
      <xdr:colOff>1722439</xdr:colOff>
      <xdr:row>29</xdr:row>
      <xdr:rowOff>82232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60F1278-2554-3AB8-F63B-7BD45BCE2A5E}"/>
            </a:ext>
          </a:extLst>
        </xdr:cNvPr>
        <xdr:cNvSpPr txBox="1"/>
      </xdr:nvSpPr>
      <xdr:spPr>
        <a:xfrm>
          <a:off x="2246314" y="5110163"/>
          <a:ext cx="2039938" cy="2663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tx1">
                  <a:lumMod val="95000"/>
                  <a:lumOff val="5000"/>
                </a:schemeClr>
              </a:solidFill>
            </a:rPr>
            <a:t>Product Category</a:t>
          </a:r>
          <a:endParaRPr lang="en-US" sz="1400" b="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2</xdr:col>
      <xdr:colOff>211455</xdr:colOff>
      <xdr:row>28</xdr:row>
      <xdr:rowOff>0</xdr:rowOff>
    </xdr:from>
    <xdr:to>
      <xdr:col>3</xdr:col>
      <xdr:colOff>285750</xdr:colOff>
      <xdr:row>30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AF3BCB0-A4FF-011F-72B1-E9A9FD08D622}"/>
            </a:ext>
          </a:extLst>
        </xdr:cNvPr>
        <xdr:cNvSpPr txBox="1"/>
      </xdr:nvSpPr>
      <xdr:spPr>
        <a:xfrm>
          <a:off x="4569143" y="5111750"/>
          <a:ext cx="1749107" cy="365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tx1">
                  <a:lumMod val="95000"/>
                  <a:lumOff val="5000"/>
                </a:schemeClr>
              </a:solidFill>
            </a:rPr>
            <a:t>Order Count</a:t>
          </a:r>
          <a:endParaRPr lang="en-US" sz="1400" b="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3</xdr:col>
      <xdr:colOff>213042</xdr:colOff>
      <xdr:row>28</xdr:row>
      <xdr:rowOff>1587</xdr:rowOff>
    </xdr:from>
    <xdr:to>
      <xdr:col>4</xdr:col>
      <xdr:colOff>11112</xdr:colOff>
      <xdr:row>29</xdr:row>
      <xdr:rowOff>85406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73E07B6-D53B-3331-BA4D-B0C6100D95AC}"/>
            </a:ext>
          </a:extLst>
        </xdr:cNvPr>
        <xdr:cNvSpPr txBox="1"/>
      </xdr:nvSpPr>
      <xdr:spPr>
        <a:xfrm>
          <a:off x="6245542" y="5113337"/>
          <a:ext cx="2179320" cy="2663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Total Units Purchased</a:t>
          </a:r>
          <a:endParaRPr lang="en-US" sz="1400" b="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4</xdr:col>
      <xdr:colOff>159067</xdr:colOff>
      <xdr:row>28</xdr:row>
      <xdr:rowOff>11112</xdr:rowOff>
    </xdr:from>
    <xdr:to>
      <xdr:col>6</xdr:col>
      <xdr:colOff>187325</xdr:colOff>
      <xdr:row>29</xdr:row>
      <xdr:rowOff>94931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16660B8-DD71-39DC-8104-DFAB1D220856}"/>
            </a:ext>
          </a:extLst>
        </xdr:cNvPr>
        <xdr:cNvSpPr txBox="1"/>
      </xdr:nvSpPr>
      <xdr:spPr>
        <a:xfrm>
          <a:off x="8572817" y="5122862"/>
          <a:ext cx="2179321" cy="2663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Total Revenue</a:t>
          </a:r>
          <a:endParaRPr lang="en-US" sz="1400" b="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6</xdr:col>
      <xdr:colOff>23813</xdr:colOff>
      <xdr:row>29</xdr:row>
      <xdr:rowOff>84931</xdr:rowOff>
    </xdr:from>
    <xdr:to>
      <xdr:col>10</xdr:col>
      <xdr:colOff>158751</xdr:colOff>
      <xdr:row>44</xdr:row>
      <xdr:rowOff>73819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DAEF3A9-C991-0E4A-4EEC-7B219EA82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321945</xdr:colOff>
      <xdr:row>1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797CAA5-9831-4B81-956F-1EAD32E4D913}"/>
            </a:ext>
          </a:extLst>
        </xdr:cNvPr>
        <xdr:cNvSpPr/>
      </xdr:nvSpPr>
      <xdr:spPr>
        <a:xfrm>
          <a:off x="0" y="0"/>
          <a:ext cx="22877145" cy="335280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1203960</xdr:colOff>
      <xdr:row>0</xdr:row>
      <xdr:rowOff>0</xdr:rowOff>
    </xdr:from>
    <xdr:to>
      <xdr:col>8</xdr:col>
      <xdr:colOff>457200</xdr:colOff>
      <xdr:row>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126E67-358F-0D97-52A6-124484ABACEE}"/>
            </a:ext>
          </a:extLst>
        </xdr:cNvPr>
        <xdr:cNvSpPr txBox="1"/>
      </xdr:nvSpPr>
      <xdr:spPr>
        <a:xfrm>
          <a:off x="1203960" y="0"/>
          <a:ext cx="11308080" cy="731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>
                  <a:lumMod val="95000"/>
                </a:schemeClr>
              </a:solidFill>
            </a:rPr>
            <a:t>Statistically</a:t>
          </a:r>
          <a:r>
            <a:rPr lang="en-US" sz="1600" b="1" baseline="0">
              <a:solidFill>
                <a:schemeClr val="bg1">
                  <a:lumMod val="95000"/>
                </a:schemeClr>
              </a:solidFill>
            </a:rPr>
            <a:t> Identified Outliers(IQR Bound Threshold &gt; </a:t>
          </a:r>
          <a:endParaRPr lang="en-US" sz="16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36</xdr:col>
      <xdr:colOff>321945</xdr:colOff>
      <xdr:row>4</xdr:row>
      <xdr:rowOff>152082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9C21D9E-E731-4A5B-91E3-198D17E6B6A8}"/>
            </a:ext>
          </a:extLst>
        </xdr:cNvPr>
        <xdr:cNvSpPr/>
      </xdr:nvSpPr>
      <xdr:spPr>
        <a:xfrm>
          <a:off x="0" y="556260"/>
          <a:ext cx="22877145" cy="327342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>
            <a:solidFill>
              <a:srgbClr val="700591"/>
            </a:solidFill>
          </a:endParaRPr>
        </a:p>
      </xdr:txBody>
    </xdr:sp>
    <xdr:clientData/>
  </xdr:twoCellAnchor>
  <xdr:twoCellAnchor>
    <xdr:from>
      <xdr:col>5</xdr:col>
      <xdr:colOff>215152</xdr:colOff>
      <xdr:row>0</xdr:row>
      <xdr:rowOff>0</xdr:rowOff>
    </xdr:from>
    <xdr:to>
      <xdr:col>6</xdr:col>
      <xdr:colOff>423582</xdr:colOff>
      <xdr:row>1</xdr:row>
      <xdr:rowOff>152400</xdr:rowOff>
    </xdr:to>
    <xdr:sp macro="" textlink="$B$10">
      <xdr:nvSpPr>
        <xdr:cNvPr id="5" name="TextBox 4">
          <a:extLst>
            <a:ext uri="{FF2B5EF4-FFF2-40B4-BE49-F238E27FC236}">
              <a16:creationId xmlns:a16="http://schemas.microsoft.com/office/drawing/2014/main" id="{F17724A7-1DC7-7573-F973-FE32AF647AD0}"/>
            </a:ext>
          </a:extLst>
        </xdr:cNvPr>
        <xdr:cNvSpPr txBox="1"/>
      </xdr:nvSpPr>
      <xdr:spPr>
        <a:xfrm>
          <a:off x="8848164" y="0"/>
          <a:ext cx="1956547" cy="331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00100762-94A9-4836-8C4C-EF1C13EF82E6}" type="TxLink">
            <a:rPr lang="en-US" sz="1400" b="1" i="0" u="none" strike="noStrike">
              <a:ln>
                <a:noFill/>
              </a:ln>
              <a:solidFill>
                <a:schemeClr val="bg1"/>
              </a:solidFill>
              <a:latin typeface="Arial Unicode MS"/>
              <a:ea typeface="Arial Unicode MS"/>
              <a:cs typeface="Arial Unicode MS"/>
            </a:rPr>
            <a:t>$3,330.41</a:t>
          </a:fld>
          <a:r>
            <a:rPr lang="en-US" sz="1400" b="1" i="0" u="none" strike="noStrike">
              <a:ln>
                <a:noFill/>
              </a:ln>
              <a:solidFill>
                <a:schemeClr val="bg1"/>
              </a:solidFill>
              <a:latin typeface="Arial Unicode MS"/>
              <a:ea typeface="Arial Unicode MS"/>
              <a:cs typeface="Arial Unicode MS"/>
            </a:rPr>
            <a:t>)</a:t>
          </a:r>
          <a:endParaRPr lang="en-US" sz="1400" b="1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289560</xdr:colOff>
      <xdr:row>3</xdr:row>
      <xdr:rowOff>53340</xdr:rowOff>
    </xdr:from>
    <xdr:to>
      <xdr:col>3</xdr:col>
      <xdr:colOff>304800</xdr:colOff>
      <xdr:row>5</xdr:row>
      <xdr:rowOff>129540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1CED328-A38B-B7BE-7FFA-CCAEB4AE4D6F}"/>
            </a:ext>
          </a:extLst>
        </xdr:cNvPr>
        <xdr:cNvSpPr txBox="1"/>
      </xdr:nvSpPr>
      <xdr:spPr>
        <a:xfrm>
          <a:off x="3329940" y="601980"/>
          <a:ext cx="1501140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>
                  <a:lumMod val="95000"/>
                </a:schemeClr>
              </a:solidFill>
            </a:rPr>
            <a:t>Order_id</a:t>
          </a:r>
        </a:p>
      </xdr:txBody>
    </xdr:sp>
    <xdr:clientData/>
  </xdr:twoCellAnchor>
  <xdr:twoCellAnchor>
    <xdr:from>
      <xdr:col>4</xdr:col>
      <xdr:colOff>678180</xdr:colOff>
      <xdr:row>3</xdr:row>
      <xdr:rowOff>60960</xdr:rowOff>
    </xdr:from>
    <xdr:to>
      <xdr:col>5</xdr:col>
      <xdr:colOff>7620</xdr:colOff>
      <xdr:row>5</xdr:row>
      <xdr:rowOff>137160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9EF0D2-D436-9897-42A8-D57E764E2E27}"/>
            </a:ext>
          </a:extLst>
        </xdr:cNvPr>
        <xdr:cNvSpPr txBox="1"/>
      </xdr:nvSpPr>
      <xdr:spPr>
        <a:xfrm>
          <a:off x="6865620" y="609600"/>
          <a:ext cx="1630680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>
                  <a:lumMod val="95000"/>
                </a:schemeClr>
              </a:solidFill>
            </a:rPr>
            <a:t>Quantity</a:t>
          </a:r>
        </a:p>
      </xdr:txBody>
    </xdr:sp>
    <xdr:clientData/>
  </xdr:twoCellAnchor>
  <xdr:twoCellAnchor>
    <xdr:from>
      <xdr:col>3</xdr:col>
      <xdr:colOff>266700</xdr:colOff>
      <xdr:row>3</xdr:row>
      <xdr:rowOff>76200</xdr:rowOff>
    </xdr:from>
    <xdr:to>
      <xdr:col>4</xdr:col>
      <xdr:colOff>106680</xdr:colOff>
      <xdr:row>5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F4F4383-50EC-653A-378C-5811D3E26695}"/>
            </a:ext>
          </a:extLst>
        </xdr:cNvPr>
        <xdr:cNvSpPr txBox="1"/>
      </xdr:nvSpPr>
      <xdr:spPr>
        <a:xfrm>
          <a:off x="4907280" y="624840"/>
          <a:ext cx="198882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>
                  <a:lumMod val="95000"/>
                </a:schemeClr>
              </a:solidFill>
            </a:rPr>
            <a:t>Product_Name</a:t>
          </a:r>
        </a:p>
        <a:p>
          <a:endParaRPr lang="en-US" sz="14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5</xdr:col>
      <xdr:colOff>327660</xdr:colOff>
      <xdr:row>3</xdr:row>
      <xdr:rowOff>68580</xdr:rowOff>
    </xdr:from>
    <xdr:to>
      <xdr:col>8</xdr:col>
      <xdr:colOff>0</xdr:colOff>
      <xdr:row>5</xdr:row>
      <xdr:rowOff>144780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0FEB629-6509-DABB-7830-D5A11BF5DB85}"/>
            </a:ext>
          </a:extLst>
        </xdr:cNvPr>
        <xdr:cNvSpPr txBox="1"/>
      </xdr:nvSpPr>
      <xdr:spPr>
        <a:xfrm>
          <a:off x="8816340" y="617220"/>
          <a:ext cx="2636520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>
                  <a:lumMod val="95000"/>
                </a:schemeClr>
              </a:solidFill>
            </a:rPr>
            <a:t>Total_Price</a:t>
          </a:r>
        </a:p>
        <a:p>
          <a:endParaRPr lang="en-US" sz="14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14</xdr:row>
      <xdr:rowOff>30480</xdr:rowOff>
    </xdr:from>
    <xdr:to>
      <xdr:col>25</xdr:col>
      <xdr:colOff>459105</xdr:colOff>
      <xdr:row>15</xdr:row>
      <xdr:rowOff>174943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F1C449E-D1AF-449A-9FC8-262DB7669796}"/>
            </a:ext>
          </a:extLst>
        </xdr:cNvPr>
        <xdr:cNvSpPr/>
      </xdr:nvSpPr>
      <xdr:spPr>
        <a:xfrm>
          <a:off x="0" y="2606040"/>
          <a:ext cx="22877145" cy="32734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259080</xdr:colOff>
      <xdr:row>14</xdr:row>
      <xdr:rowOff>68580</xdr:rowOff>
    </xdr:from>
    <xdr:to>
      <xdr:col>5</xdr:col>
      <xdr:colOff>45720</xdr:colOff>
      <xdr:row>16</xdr:row>
      <xdr:rowOff>91440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11CF6B0-2871-F8AD-44A4-7DBDB79DE635}"/>
            </a:ext>
          </a:extLst>
        </xdr:cNvPr>
        <xdr:cNvSpPr txBox="1"/>
      </xdr:nvSpPr>
      <xdr:spPr>
        <a:xfrm>
          <a:off x="4427220" y="2644140"/>
          <a:ext cx="423672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tx1">
                  <a:lumMod val="85000"/>
                  <a:lumOff val="15000"/>
                </a:schemeClr>
              </a:solidFill>
            </a:rPr>
            <a:t>Customer Channel &amp; Referral Performance</a:t>
          </a:r>
        </a:p>
      </xdr:txBody>
    </xdr:sp>
    <xdr:clientData/>
  </xdr:twoCellAnchor>
  <xdr:twoCellAnchor>
    <xdr:from>
      <xdr:col>0</xdr:col>
      <xdr:colOff>15240</xdr:colOff>
      <xdr:row>17</xdr:row>
      <xdr:rowOff>22860</xdr:rowOff>
    </xdr:from>
    <xdr:to>
      <xdr:col>36</xdr:col>
      <xdr:colOff>337185</xdr:colOff>
      <xdr:row>18</xdr:row>
      <xdr:rowOff>167322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BBC35BA-C51C-F9DE-F406-DC31FCD35301}"/>
            </a:ext>
          </a:extLst>
        </xdr:cNvPr>
        <xdr:cNvSpPr/>
      </xdr:nvSpPr>
      <xdr:spPr>
        <a:xfrm>
          <a:off x="15240" y="3147060"/>
          <a:ext cx="29445585" cy="327342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>
            <a:solidFill>
              <a:srgbClr val="700591"/>
            </a:solidFill>
          </a:endParaRPr>
        </a:p>
      </xdr:txBody>
    </xdr:sp>
    <xdr:clientData/>
  </xdr:twoCellAnchor>
  <xdr:twoCellAnchor>
    <xdr:from>
      <xdr:col>0</xdr:col>
      <xdr:colOff>1196340</xdr:colOff>
      <xdr:row>17</xdr:row>
      <xdr:rowOff>76200</xdr:rowOff>
    </xdr:from>
    <xdr:to>
      <xdr:col>2</xdr:col>
      <xdr:colOff>381000</xdr:colOff>
      <xdr:row>19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0DE10E-7F0E-38FE-0869-F477EAEC80FA}"/>
            </a:ext>
          </a:extLst>
        </xdr:cNvPr>
        <xdr:cNvSpPr txBox="1"/>
      </xdr:nvSpPr>
      <xdr:spPr>
        <a:xfrm>
          <a:off x="1196340" y="3200400"/>
          <a:ext cx="16154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>
                  <a:lumMod val="95000"/>
                </a:schemeClr>
              </a:solidFill>
            </a:rPr>
            <a:t>Referral Source</a:t>
          </a:r>
        </a:p>
      </xdr:txBody>
    </xdr:sp>
    <xdr:clientData/>
  </xdr:twoCellAnchor>
  <xdr:twoCellAnchor>
    <xdr:from>
      <xdr:col>2</xdr:col>
      <xdr:colOff>198120</xdr:colOff>
      <xdr:row>17</xdr:row>
      <xdr:rowOff>76201</xdr:rowOff>
    </xdr:from>
    <xdr:to>
      <xdr:col>3</xdr:col>
      <xdr:colOff>213360</xdr:colOff>
      <xdr:row>19</xdr:row>
      <xdr:rowOff>152401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570A22-556B-A96C-2C13-08C6AE4820DE}"/>
            </a:ext>
          </a:extLst>
        </xdr:cNvPr>
        <xdr:cNvSpPr txBox="1"/>
      </xdr:nvSpPr>
      <xdr:spPr>
        <a:xfrm>
          <a:off x="2770991" y="3142130"/>
          <a:ext cx="1619922" cy="434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>
                  <a:lumMod val="95000"/>
                </a:schemeClr>
              </a:solidFill>
            </a:rPr>
            <a:t>Order Count</a:t>
          </a:r>
        </a:p>
      </xdr:txBody>
    </xdr:sp>
    <xdr:clientData/>
  </xdr:twoCellAnchor>
  <xdr:twoCellAnchor>
    <xdr:from>
      <xdr:col>3</xdr:col>
      <xdr:colOff>618565</xdr:colOff>
      <xdr:row>17</xdr:row>
      <xdr:rowOff>49306</xdr:rowOff>
    </xdr:from>
    <xdr:to>
      <xdr:col>4</xdr:col>
      <xdr:colOff>82476</xdr:colOff>
      <xdr:row>19</xdr:row>
      <xdr:rowOff>125506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5E37AF1-CF55-DCF2-B1CA-AC6C2F07B9D1}"/>
            </a:ext>
          </a:extLst>
        </xdr:cNvPr>
        <xdr:cNvSpPr txBox="1"/>
      </xdr:nvSpPr>
      <xdr:spPr>
        <a:xfrm>
          <a:off x="4796118" y="3115235"/>
          <a:ext cx="1615440" cy="434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>
                  <a:lumMod val="95000"/>
                </a:schemeClr>
              </a:solidFill>
            </a:rPr>
            <a:t>Total Units</a:t>
          </a:r>
        </a:p>
      </xdr:txBody>
    </xdr:sp>
    <xdr:clientData/>
  </xdr:twoCellAnchor>
  <xdr:twoCellAnchor>
    <xdr:from>
      <xdr:col>4</xdr:col>
      <xdr:colOff>518160</xdr:colOff>
      <xdr:row>17</xdr:row>
      <xdr:rowOff>53340</xdr:rowOff>
    </xdr:from>
    <xdr:to>
      <xdr:col>4</xdr:col>
      <xdr:colOff>2133600</xdr:colOff>
      <xdr:row>19</xdr:row>
      <xdr:rowOff>129540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F66A9B7-3719-A313-EFDD-CECF65F3E6E1}"/>
            </a:ext>
          </a:extLst>
        </xdr:cNvPr>
        <xdr:cNvSpPr txBox="1"/>
      </xdr:nvSpPr>
      <xdr:spPr>
        <a:xfrm>
          <a:off x="6835140" y="3177540"/>
          <a:ext cx="1615440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>
                  <a:lumMod val="95000"/>
                </a:schemeClr>
              </a:solidFill>
            </a:rPr>
            <a:t>Total Revenue</a:t>
          </a:r>
        </a:p>
      </xdr:txBody>
    </xdr:sp>
    <xdr:clientData/>
  </xdr:twoCellAnchor>
  <xdr:twoCellAnchor>
    <xdr:from>
      <xdr:col>5</xdr:col>
      <xdr:colOff>143884</xdr:colOff>
      <xdr:row>17</xdr:row>
      <xdr:rowOff>39444</xdr:rowOff>
    </xdr:from>
    <xdr:to>
      <xdr:col>6</xdr:col>
      <xdr:colOff>433444</xdr:colOff>
      <xdr:row>19</xdr:row>
      <xdr:rowOff>115644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67A5319-36BF-8060-D4EC-64938E4A4608}"/>
            </a:ext>
          </a:extLst>
        </xdr:cNvPr>
        <xdr:cNvSpPr txBox="1"/>
      </xdr:nvSpPr>
      <xdr:spPr>
        <a:xfrm>
          <a:off x="8776896" y="3105373"/>
          <a:ext cx="2037677" cy="434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>
                  <a:lumMod val="95000"/>
                </a:schemeClr>
              </a:solidFill>
            </a:rPr>
            <a:t>Avg. items per</a:t>
          </a:r>
          <a:r>
            <a:rPr lang="en-US" sz="1400" baseline="0">
              <a:solidFill>
                <a:schemeClr val="bg1">
                  <a:lumMod val="95000"/>
                </a:schemeClr>
              </a:solidFill>
            </a:rPr>
            <a:t> Carts</a:t>
          </a:r>
          <a:endParaRPr lang="en-US" sz="14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25</xdr:row>
      <xdr:rowOff>71718</xdr:rowOff>
    </xdr:from>
    <xdr:to>
      <xdr:col>36</xdr:col>
      <xdr:colOff>420557</xdr:colOff>
      <xdr:row>27</xdr:row>
      <xdr:rowOff>44824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DDE68EF-B6FC-7E94-B0F9-FE75D44B112B}"/>
            </a:ext>
          </a:extLst>
        </xdr:cNvPr>
        <xdr:cNvSpPr/>
      </xdr:nvSpPr>
      <xdr:spPr>
        <a:xfrm>
          <a:off x="0" y="4616824"/>
          <a:ext cx="29089686" cy="331694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1711362</xdr:colOff>
      <xdr:row>25</xdr:row>
      <xdr:rowOff>68580</xdr:rowOff>
    </xdr:from>
    <xdr:to>
      <xdr:col>5</xdr:col>
      <xdr:colOff>1498002</xdr:colOff>
      <xdr:row>27</xdr:row>
      <xdr:rowOff>91440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05BF7F5-1AB4-9C83-B3D5-7CA226CBB12A}"/>
            </a:ext>
          </a:extLst>
        </xdr:cNvPr>
        <xdr:cNvSpPr txBox="1"/>
      </xdr:nvSpPr>
      <xdr:spPr>
        <a:xfrm>
          <a:off x="5888915" y="4613686"/>
          <a:ext cx="4242099" cy="3814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</a:rPr>
            <a:t>Discount Code Performance</a:t>
          </a:r>
        </a:p>
      </xdr:txBody>
    </xdr:sp>
    <xdr:clientData/>
  </xdr:twoCellAnchor>
  <xdr:twoCellAnchor>
    <xdr:from>
      <xdr:col>0</xdr:col>
      <xdr:colOff>0</xdr:colOff>
      <xdr:row>29</xdr:row>
      <xdr:rowOff>7621</xdr:rowOff>
    </xdr:from>
    <xdr:to>
      <xdr:col>36</xdr:col>
      <xdr:colOff>321945</xdr:colOff>
      <xdr:row>30</xdr:row>
      <xdr:rowOff>152083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B96F21C-9640-F927-F91A-2E6BE912BEA3}"/>
            </a:ext>
          </a:extLst>
        </xdr:cNvPr>
        <xdr:cNvSpPr/>
      </xdr:nvSpPr>
      <xdr:spPr>
        <a:xfrm>
          <a:off x="0" y="5269903"/>
          <a:ext cx="28991074" cy="323756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>
            <a:solidFill>
              <a:srgbClr val="700591"/>
            </a:solidFill>
          </a:endParaRPr>
        </a:p>
      </xdr:txBody>
    </xdr:sp>
    <xdr:clientData/>
  </xdr:twoCellAnchor>
  <xdr:twoCellAnchor>
    <xdr:from>
      <xdr:col>1</xdr:col>
      <xdr:colOff>111611</xdr:colOff>
      <xdr:row>29</xdr:row>
      <xdr:rowOff>67235</xdr:rowOff>
    </xdr:from>
    <xdr:to>
      <xdr:col>2</xdr:col>
      <xdr:colOff>524436</xdr:colOff>
      <xdr:row>31</xdr:row>
      <xdr:rowOff>29135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E548164-CBF4-C7FB-0DA8-EF2553AD2033}"/>
            </a:ext>
          </a:extLst>
        </xdr:cNvPr>
        <xdr:cNvSpPr txBox="1"/>
      </xdr:nvSpPr>
      <xdr:spPr>
        <a:xfrm>
          <a:off x="1339776" y="5329517"/>
          <a:ext cx="1757531" cy="3204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>
                  <a:lumMod val="95000"/>
                </a:schemeClr>
              </a:solidFill>
            </a:rPr>
            <a:t>CouponCode</a:t>
          </a:r>
        </a:p>
      </xdr:txBody>
    </xdr:sp>
    <xdr:clientData/>
  </xdr:twoCellAnchor>
  <xdr:twoCellAnchor>
    <xdr:from>
      <xdr:col>2</xdr:col>
      <xdr:colOff>317799</xdr:colOff>
      <xdr:row>29</xdr:row>
      <xdr:rowOff>58271</xdr:rowOff>
    </xdr:from>
    <xdr:to>
      <xdr:col>3</xdr:col>
      <xdr:colOff>470648</xdr:colOff>
      <xdr:row>31</xdr:row>
      <xdr:rowOff>20171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99544AB-7D89-B948-3216-EB06A86230B3}"/>
            </a:ext>
          </a:extLst>
        </xdr:cNvPr>
        <xdr:cNvSpPr txBox="1"/>
      </xdr:nvSpPr>
      <xdr:spPr>
        <a:xfrm>
          <a:off x="2890670" y="5320553"/>
          <a:ext cx="1757531" cy="3204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>
                  <a:lumMod val="95000"/>
                </a:schemeClr>
              </a:solidFill>
            </a:rPr>
            <a:t>Order Count</a:t>
          </a:r>
        </a:p>
      </xdr:txBody>
    </xdr:sp>
    <xdr:clientData/>
  </xdr:twoCellAnchor>
  <xdr:twoCellAnchor>
    <xdr:from>
      <xdr:col>3</xdr:col>
      <xdr:colOff>739139</xdr:colOff>
      <xdr:row>29</xdr:row>
      <xdr:rowOff>58270</xdr:rowOff>
    </xdr:from>
    <xdr:to>
      <xdr:col>4</xdr:col>
      <xdr:colOff>345141</xdr:colOff>
      <xdr:row>31</xdr:row>
      <xdr:rowOff>20170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22D5BA4-417D-C53D-A0F1-E7B658A95C84}"/>
            </a:ext>
          </a:extLst>
        </xdr:cNvPr>
        <xdr:cNvSpPr txBox="1"/>
      </xdr:nvSpPr>
      <xdr:spPr>
        <a:xfrm>
          <a:off x="4916692" y="5320552"/>
          <a:ext cx="1757531" cy="3204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>
                  <a:lumMod val="95000"/>
                </a:schemeClr>
              </a:solidFill>
            </a:rPr>
            <a:t>Revenue</a:t>
          </a:r>
        </a:p>
      </xdr:txBody>
    </xdr:sp>
    <xdr:clientData/>
  </xdr:twoCellAnchor>
  <xdr:twoCellAnchor>
    <xdr:from>
      <xdr:col>4</xdr:col>
      <xdr:colOff>622598</xdr:colOff>
      <xdr:row>29</xdr:row>
      <xdr:rowOff>31376</xdr:rowOff>
    </xdr:from>
    <xdr:to>
      <xdr:col>5</xdr:col>
      <xdr:colOff>76199</xdr:colOff>
      <xdr:row>30</xdr:row>
      <xdr:rowOff>172571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67917AB-83DB-0CC7-5576-CF44F550942E}"/>
            </a:ext>
          </a:extLst>
        </xdr:cNvPr>
        <xdr:cNvSpPr txBox="1"/>
      </xdr:nvSpPr>
      <xdr:spPr>
        <a:xfrm>
          <a:off x="6951680" y="5293658"/>
          <a:ext cx="1757531" cy="3204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bg1">
                  <a:lumMod val="95000"/>
                </a:schemeClr>
              </a:solidFill>
            </a:rPr>
            <a:t>Average</a:t>
          </a:r>
          <a:r>
            <a:rPr lang="en-US" sz="1400" baseline="0">
              <a:solidFill>
                <a:schemeClr val="bg1">
                  <a:lumMod val="95000"/>
                </a:schemeClr>
              </a:solidFill>
            </a:rPr>
            <a:t> Order</a:t>
          </a:r>
          <a:endParaRPr lang="en-US" sz="14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38</xdr:row>
      <xdr:rowOff>62751</xdr:rowOff>
    </xdr:from>
    <xdr:to>
      <xdr:col>3</xdr:col>
      <xdr:colOff>394447</xdr:colOff>
      <xdr:row>53</xdr:row>
      <xdr:rowOff>116539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CABD288-B37D-E0C6-6E70-57B4AEB71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712695</xdr:colOff>
      <xdr:row>37</xdr:row>
      <xdr:rowOff>152399</xdr:rowOff>
    </xdr:from>
    <xdr:to>
      <xdr:col>6</xdr:col>
      <xdr:colOff>448237</xdr:colOff>
      <xdr:row>53</xdr:row>
      <xdr:rowOff>26893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AFD2F14-7805-3F26-8907-ED51AB3FE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47</xdr:col>
      <xdr:colOff>339874</xdr:colOff>
      <xdr:row>3</xdr:row>
      <xdr:rowOff>22860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710122E-D0E5-4387-A12F-A6C1293B2AD1}"/>
            </a:ext>
          </a:extLst>
        </xdr:cNvPr>
        <xdr:cNvSpPr/>
      </xdr:nvSpPr>
      <xdr:spPr>
        <a:xfrm>
          <a:off x="0" y="0"/>
          <a:ext cx="28991074" cy="57150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>
            <a:solidFill>
              <a:srgbClr val="700591"/>
            </a:solidFill>
          </a:endParaRPr>
        </a:p>
      </xdr:txBody>
    </xdr:sp>
    <xdr:clientData/>
  </xdr:twoCellAnchor>
  <xdr:twoCellAnchor>
    <xdr:from>
      <xdr:col>6</xdr:col>
      <xdr:colOff>243840</xdr:colOff>
      <xdr:row>0</xdr:row>
      <xdr:rowOff>0</xdr:rowOff>
    </xdr:from>
    <xdr:to>
      <xdr:col>17</xdr:col>
      <xdr:colOff>579120</xdr:colOff>
      <xdr:row>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B4AF28-38C5-77BC-6804-1ED30929DDAD}"/>
            </a:ext>
          </a:extLst>
        </xdr:cNvPr>
        <xdr:cNvSpPr txBox="1"/>
      </xdr:nvSpPr>
      <xdr:spPr>
        <a:xfrm>
          <a:off x="3901440" y="0"/>
          <a:ext cx="7040880" cy="731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800">
              <a:solidFill>
                <a:schemeClr val="bg1"/>
              </a:solidFill>
            </a:rPr>
            <a:t>EXPLORATORY DATA ANALYSIS — KEY OBSERVATIONS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E7FEC0-832A-41A3-BBDE-2E484E261EE2}" autoFormatId="16" applyNumberFormats="0" applyBorderFormats="0" applyFontFormats="0" applyPatternFormats="0" applyAlignmentFormats="0" applyWidthHeightFormats="0">
  <queryTableRefresh nextId="24">
    <queryTableFields count="14">
      <queryTableField id="2" name="OrderID" tableColumnId="2"/>
      <queryTableField id="3" name="Date" tableColumnId="3"/>
      <queryTableField id="4" name="CustomerID" tableColumnId="4"/>
      <queryTableField id="5" name="Product" tableColumnId="5"/>
      <queryTableField id="6" name="Quantity" tableColumnId="6"/>
      <queryTableField id="7" name="UnitPrice" tableColumnId="7"/>
      <queryTableField id="8" name="ShippingAddress" tableColumnId="8"/>
      <queryTableField id="9" name="PaymentMethod" tableColumnId="9"/>
      <queryTableField id="10" name="OrderStatus" tableColumnId="10"/>
      <queryTableField id="1" name="TrackingNumber" tableColumnId="1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936D01-076C-4391-B603-219FFAAF208F}" name="Table3_1" displayName="Table3_1" ref="A1:N1201" tableType="queryTable" totalsRowShown="0">
  <autoFilter ref="A1:N1201" xr:uid="{22936D01-076C-4391-B603-219FFAAF208F}"/>
  <tableColumns count="14">
    <tableColumn id="2" xr3:uid="{23217327-B7D2-4BF2-85C0-8FF6C6AEEB47}" uniqueName="2" name="Order_ID" queryTableFieldId="2" dataDxfId="9"/>
    <tableColumn id="3" xr3:uid="{64E28AFC-449F-4744-BA07-C3803D6F38B9}" uniqueName="3" name="Date" queryTableFieldId="3" dataDxfId="1"/>
    <tableColumn id="4" xr3:uid="{3F7F3ECF-9FD7-4C12-A49F-9BE594FF9E1F}" uniqueName="4" name="Customer_ID" queryTableFieldId="4" dataDxfId="8"/>
    <tableColumn id="5" xr3:uid="{05378428-F5E8-4827-9BC2-F4CAF4DE952B}" uniqueName="5" name="Product" queryTableFieldId="5" dataDxfId="0"/>
    <tableColumn id="6" xr3:uid="{AC35606B-6DD5-4C2D-9D11-781F3A6E0A09}" uniqueName="6" name="Quantity" queryTableFieldId="6"/>
    <tableColumn id="7" xr3:uid="{B1291046-E78A-484F-9E1B-BE575B87054B}" uniqueName="7" name="Unit_Price" queryTableFieldId="7"/>
    <tableColumn id="8" xr3:uid="{A56E7CB8-E556-4C28-85FD-4E1C7B3BADBF}" uniqueName="8" name="Shipping_Address" queryTableFieldId="8" dataDxfId="7"/>
    <tableColumn id="9" xr3:uid="{34224607-8573-4E0B-B5E9-6F6565863435}" uniqueName="9" name="Payment_Method" queryTableFieldId="9" dataDxfId="6"/>
    <tableColumn id="10" xr3:uid="{6FA31C43-8543-441E-BB2A-57FCFBF5AAE1}" uniqueName="10" name="Order_Status" queryTableFieldId="10" dataDxfId="5"/>
    <tableColumn id="1" xr3:uid="{ACA90A03-64BA-4804-A74B-540565168E96}" uniqueName="1" name="Tracking_Number" queryTableFieldId="1" dataDxfId="4"/>
    <tableColumn id="11" xr3:uid="{BC9AF0DC-BCEA-4603-A871-BE9AC3AED319}" uniqueName="11" name="ItemsIn_Cart" queryTableFieldId="11"/>
    <tableColumn id="12" xr3:uid="{3DD9271F-7368-4A7C-9473-4B3A366E48D1}" uniqueName="12" name="Coupon_Code" queryTableFieldId="12" dataDxfId="3"/>
    <tableColumn id="13" xr3:uid="{B468D1C9-1F1E-4AEB-9A20-AAAF383D9314}" uniqueName="13" name="Referral_Source" queryTableFieldId="13" dataDxfId="2"/>
    <tableColumn id="14" xr3:uid="{7FECBAEB-7402-4A75-B6DB-263830BC7A33}" uniqueName="14" name="Total_Price" queryTableFieldId="14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N1201"/>
  <sheetViews>
    <sheetView workbookViewId="0">
      <selection activeCell="A9" sqref="A9:XFD9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4F4E-E18A-4515-B83B-612828DFCB67}">
  <sheetPr>
    <tabColor theme="7" tint="-0.249977111117893"/>
  </sheetPr>
  <dimension ref="A1:N1201"/>
  <sheetViews>
    <sheetView zoomScale="112" zoomScaleNormal="112" workbookViewId="0">
      <selection activeCell="P791" sqref="P791"/>
    </sheetView>
  </sheetViews>
  <sheetFormatPr defaultRowHeight="14.4" x14ac:dyDescent="0.3"/>
  <cols>
    <col min="1" max="1" width="10.6640625" bestFit="1" customWidth="1"/>
    <col min="2" max="2" width="11.21875" style="4" bestFit="1" customWidth="1"/>
    <col min="3" max="3" width="14.109375" bestFit="1" customWidth="1"/>
    <col min="4" max="4" width="9.88671875" style="5" bestFit="1" customWidth="1"/>
    <col min="5" max="5" width="10.5546875" bestFit="1" customWidth="1"/>
    <col min="6" max="6" width="11.88671875" bestFit="1" customWidth="1"/>
    <col min="7" max="7" width="18.33203125" bestFit="1" customWidth="1"/>
    <col min="8" max="8" width="18.6640625" bestFit="1" customWidth="1"/>
    <col min="9" max="9" width="14.21875" bestFit="1" customWidth="1"/>
    <col min="10" max="10" width="18.33203125" bestFit="1" customWidth="1"/>
    <col min="11" max="11" width="14" bestFit="1" customWidth="1"/>
    <col min="12" max="12" width="15.33203125" bestFit="1" customWidth="1"/>
    <col min="13" max="13" width="16.6640625" bestFit="1" customWidth="1"/>
    <col min="14" max="14" width="12.5546875" bestFit="1" customWidth="1"/>
  </cols>
  <sheetData>
    <row r="1" spans="1:14" x14ac:dyDescent="0.3">
      <c r="A1" t="s">
        <v>4284</v>
      </c>
      <c r="B1" s="4" t="s">
        <v>1</v>
      </c>
      <c r="C1" t="s">
        <v>4285</v>
      </c>
      <c r="D1" s="5" t="s">
        <v>3</v>
      </c>
      <c r="E1" t="s">
        <v>4</v>
      </c>
      <c r="F1" t="s">
        <v>4286</v>
      </c>
      <c r="G1" t="s">
        <v>4287</v>
      </c>
      <c r="H1" t="s">
        <v>4288</v>
      </c>
      <c r="I1" t="s">
        <v>4289</v>
      </c>
      <c r="J1" t="s">
        <v>4290</v>
      </c>
      <c r="K1" t="s">
        <v>4294</v>
      </c>
      <c r="L1" t="s">
        <v>4291</v>
      </c>
      <c r="M1" t="s">
        <v>4292</v>
      </c>
      <c r="N1" t="s">
        <v>4293</v>
      </c>
    </row>
    <row r="2" spans="1:14" x14ac:dyDescent="0.3">
      <c r="A2" s="3" t="s">
        <v>14</v>
      </c>
      <c r="B2" s="4">
        <v>44930</v>
      </c>
      <c r="C2" s="3" t="s">
        <v>1214</v>
      </c>
      <c r="D2" s="5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</row>
    <row r="3" spans="1:14" x14ac:dyDescent="0.3">
      <c r="A3" s="3" t="s">
        <v>15</v>
      </c>
      <c r="B3" s="4">
        <v>45527</v>
      </c>
      <c r="C3" s="3" t="s">
        <v>1215</v>
      </c>
      <c r="D3" s="5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</row>
    <row r="4" spans="1:14" x14ac:dyDescent="0.3">
      <c r="A4" s="3" t="s">
        <v>16</v>
      </c>
      <c r="B4" s="4">
        <v>45349</v>
      </c>
      <c r="C4" s="3" t="s">
        <v>1216</v>
      </c>
      <c r="D4" s="5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</row>
    <row r="5" spans="1:14" x14ac:dyDescent="0.3">
      <c r="A5" s="3" t="s">
        <v>17</v>
      </c>
      <c r="B5" s="4">
        <v>45214</v>
      </c>
      <c r="C5" s="3" t="s">
        <v>1217</v>
      </c>
      <c r="D5" s="5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</row>
    <row r="6" spans="1:14" x14ac:dyDescent="0.3">
      <c r="A6" s="3" t="s">
        <v>18</v>
      </c>
      <c r="B6" s="4">
        <v>45785</v>
      </c>
      <c r="C6" s="3" t="s">
        <v>1218</v>
      </c>
      <c r="D6" s="5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</row>
    <row r="7" spans="1:14" x14ac:dyDescent="0.3">
      <c r="A7" s="3" t="s">
        <v>19</v>
      </c>
      <c r="B7" s="4">
        <v>45222</v>
      </c>
      <c r="C7" s="3" t="s">
        <v>1219</v>
      </c>
      <c r="D7" s="5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</row>
    <row r="8" spans="1:14" x14ac:dyDescent="0.3">
      <c r="A8" s="3" t="s">
        <v>20</v>
      </c>
      <c r="B8" s="4">
        <v>45825</v>
      </c>
      <c r="C8" s="3" t="s">
        <v>1220</v>
      </c>
      <c r="D8" s="5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</row>
    <row r="9" spans="1:14" x14ac:dyDescent="0.3">
      <c r="A9" s="3" t="s">
        <v>21</v>
      </c>
      <c r="B9" s="4">
        <v>45058</v>
      </c>
      <c r="C9" s="3" t="s">
        <v>1221</v>
      </c>
      <c r="D9" s="5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</row>
    <row r="10" spans="1:14" x14ac:dyDescent="0.3">
      <c r="A10" s="3" t="s">
        <v>22</v>
      </c>
      <c r="B10" s="4">
        <v>45749</v>
      </c>
      <c r="C10" s="3" t="s">
        <v>1222</v>
      </c>
      <c r="D10" s="5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4283</v>
      </c>
      <c r="M10" s="3" t="s">
        <v>4280</v>
      </c>
      <c r="N10">
        <v>268.56</v>
      </c>
    </row>
    <row r="11" spans="1:14" x14ac:dyDescent="0.3">
      <c r="A11" s="3" t="s">
        <v>23</v>
      </c>
      <c r="B11" s="4">
        <v>45251</v>
      </c>
      <c r="C11" s="3" t="s">
        <v>1223</v>
      </c>
      <c r="D11" s="5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</row>
    <row r="12" spans="1:14" x14ac:dyDescent="0.3">
      <c r="A12" s="3" t="s">
        <v>24</v>
      </c>
      <c r="B12" s="4">
        <v>45289</v>
      </c>
      <c r="C12" s="3" t="s">
        <v>1224</v>
      </c>
      <c r="D12" s="5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</row>
    <row r="13" spans="1:14" x14ac:dyDescent="0.3">
      <c r="A13" s="3" t="s">
        <v>25</v>
      </c>
      <c r="B13" s="4">
        <v>45339</v>
      </c>
      <c r="C13" s="3" t="s">
        <v>1225</v>
      </c>
      <c r="D13" s="5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</row>
    <row r="14" spans="1:14" x14ac:dyDescent="0.3">
      <c r="A14" s="3" t="s">
        <v>26</v>
      </c>
      <c r="B14" s="4">
        <v>45580</v>
      </c>
      <c r="C14" s="3" t="s">
        <v>1226</v>
      </c>
      <c r="D14" s="5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</row>
    <row r="15" spans="1:14" x14ac:dyDescent="0.3">
      <c r="A15" s="3" t="s">
        <v>27</v>
      </c>
      <c r="B15" s="4">
        <v>45168</v>
      </c>
      <c r="C15" s="3" t="s">
        <v>1227</v>
      </c>
      <c r="D15" s="5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3">
      <c r="A16" s="3" t="s">
        <v>28</v>
      </c>
      <c r="B16" s="4">
        <v>45012</v>
      </c>
      <c r="C16" s="3" t="s">
        <v>1228</v>
      </c>
      <c r="D16" s="5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3">
      <c r="A17" s="3" t="s">
        <v>29</v>
      </c>
      <c r="B17" s="4">
        <v>45124</v>
      </c>
      <c r="C17" s="3" t="s">
        <v>1229</v>
      </c>
      <c r="D17" s="5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4283</v>
      </c>
      <c r="M17" s="3" t="s">
        <v>4282</v>
      </c>
      <c r="N17">
        <v>473.96</v>
      </c>
    </row>
    <row r="18" spans="1:14" x14ac:dyDescent="0.3">
      <c r="A18" s="3" t="s">
        <v>30</v>
      </c>
      <c r="B18" s="4">
        <v>44950</v>
      </c>
      <c r="C18" s="3" t="s">
        <v>1230</v>
      </c>
      <c r="D18" s="5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3">
      <c r="A19" s="3" t="s">
        <v>31</v>
      </c>
      <c r="B19" s="4">
        <v>45353</v>
      </c>
      <c r="C19" s="3" t="s">
        <v>1231</v>
      </c>
      <c r="D19" s="5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4283</v>
      </c>
      <c r="M19" s="3" t="s">
        <v>4279</v>
      </c>
      <c r="N19">
        <v>423.4</v>
      </c>
    </row>
    <row r="20" spans="1:14" x14ac:dyDescent="0.3">
      <c r="A20" s="3" t="s">
        <v>32</v>
      </c>
      <c r="B20" s="4">
        <v>45742</v>
      </c>
      <c r="C20" s="3" t="s">
        <v>1232</v>
      </c>
      <c r="D20" s="5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3">
      <c r="A21" s="3" t="s">
        <v>33</v>
      </c>
      <c r="B21" s="4">
        <v>44949</v>
      </c>
      <c r="C21" s="3" t="s">
        <v>1233</v>
      </c>
      <c r="D21" s="5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3">
      <c r="A22" s="3" t="s">
        <v>34</v>
      </c>
      <c r="B22" s="4">
        <v>45054</v>
      </c>
      <c r="C22" s="3" t="s">
        <v>1234</v>
      </c>
      <c r="D22" s="5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3">
      <c r="A23" s="3" t="s">
        <v>35</v>
      </c>
      <c r="B23" s="4">
        <v>45613</v>
      </c>
      <c r="C23" s="3" t="s">
        <v>1235</v>
      </c>
      <c r="D23" s="5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4283</v>
      </c>
      <c r="M23" s="3" t="s">
        <v>4282</v>
      </c>
      <c r="N23">
        <v>1371.8</v>
      </c>
    </row>
    <row r="24" spans="1:14" x14ac:dyDescent="0.3">
      <c r="A24" s="3" t="s">
        <v>36</v>
      </c>
      <c r="B24" s="4">
        <v>44955</v>
      </c>
      <c r="C24" s="3" t="s">
        <v>1236</v>
      </c>
      <c r="D24" s="5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3">
      <c r="A25" s="3" t="s">
        <v>37</v>
      </c>
      <c r="B25" s="4">
        <v>45756</v>
      </c>
      <c r="C25" s="3" t="s">
        <v>1237</v>
      </c>
      <c r="D25" s="5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3">
      <c r="A26" s="3" t="s">
        <v>38</v>
      </c>
      <c r="B26" s="4">
        <v>45595</v>
      </c>
      <c r="C26" s="3" t="s">
        <v>1238</v>
      </c>
      <c r="D26" s="5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3">
      <c r="A27" s="3" t="s">
        <v>39</v>
      </c>
      <c r="B27" s="4">
        <v>45497</v>
      </c>
      <c r="C27" s="3" t="s">
        <v>1239</v>
      </c>
      <c r="D27" s="5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3">
      <c r="A28" s="3" t="s">
        <v>40</v>
      </c>
      <c r="B28" s="4">
        <v>45357</v>
      </c>
      <c r="C28" s="3" t="s">
        <v>1240</v>
      </c>
      <c r="D28" s="5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4283</v>
      </c>
      <c r="M28" s="3" t="s">
        <v>4279</v>
      </c>
      <c r="N28">
        <v>297.75</v>
      </c>
    </row>
    <row r="29" spans="1:14" x14ac:dyDescent="0.3">
      <c r="A29" s="3" t="s">
        <v>41</v>
      </c>
      <c r="B29" s="4">
        <v>45344</v>
      </c>
      <c r="C29" s="3" t="s">
        <v>1241</v>
      </c>
      <c r="D29" s="5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3">
      <c r="A30" s="3" t="s">
        <v>42</v>
      </c>
      <c r="B30" s="4">
        <v>45251</v>
      </c>
      <c r="C30" s="3" t="s">
        <v>1242</v>
      </c>
      <c r="D30" s="5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4283</v>
      </c>
      <c r="M30" s="3" t="s">
        <v>4280</v>
      </c>
      <c r="N30">
        <v>640.28</v>
      </c>
    </row>
    <row r="31" spans="1:14" x14ac:dyDescent="0.3">
      <c r="A31" s="3" t="s">
        <v>43</v>
      </c>
      <c r="B31" s="4">
        <v>45555</v>
      </c>
      <c r="C31" s="3" t="s">
        <v>1243</v>
      </c>
      <c r="D31" s="5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3">
      <c r="A32" s="3" t="s">
        <v>44</v>
      </c>
      <c r="B32" s="4">
        <v>45738</v>
      </c>
      <c r="C32" s="3" t="s">
        <v>1244</v>
      </c>
      <c r="D32" s="5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3">
      <c r="A33" s="3" t="s">
        <v>45</v>
      </c>
      <c r="B33" s="4">
        <v>45107</v>
      </c>
      <c r="C33" s="3" t="s">
        <v>1245</v>
      </c>
      <c r="D33" s="5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4283</v>
      </c>
      <c r="M33" s="3" t="s">
        <v>4281</v>
      </c>
      <c r="N33">
        <v>1500.24</v>
      </c>
    </row>
    <row r="34" spans="1:14" x14ac:dyDescent="0.3">
      <c r="A34" s="3" t="s">
        <v>46</v>
      </c>
      <c r="B34" s="4">
        <v>45047</v>
      </c>
      <c r="C34" s="3" t="s">
        <v>1246</v>
      </c>
      <c r="D34" s="5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4283</v>
      </c>
      <c r="M34" s="3" t="s">
        <v>4280</v>
      </c>
      <c r="N34">
        <v>2683.6</v>
      </c>
    </row>
    <row r="35" spans="1:14" x14ac:dyDescent="0.3">
      <c r="A35" s="3" t="s">
        <v>47</v>
      </c>
      <c r="B35" s="4">
        <v>45082</v>
      </c>
      <c r="C35" s="3" t="s">
        <v>1247</v>
      </c>
      <c r="D35" s="5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3">
      <c r="A36" s="3" t="s">
        <v>48</v>
      </c>
      <c r="B36" s="4">
        <v>44933</v>
      </c>
      <c r="C36" s="3" t="s">
        <v>1248</v>
      </c>
      <c r="D36" s="5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3">
      <c r="A37" s="3" t="s">
        <v>49</v>
      </c>
      <c r="B37" s="4">
        <v>45633</v>
      </c>
      <c r="C37" s="3" t="s">
        <v>1249</v>
      </c>
      <c r="D37" s="5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3">
      <c r="A38" s="3" t="s">
        <v>50</v>
      </c>
      <c r="B38" s="4">
        <v>45785</v>
      </c>
      <c r="C38" s="3" t="s">
        <v>1250</v>
      </c>
      <c r="D38" s="5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4283</v>
      </c>
      <c r="M38" s="3" t="s">
        <v>4281</v>
      </c>
      <c r="N38">
        <v>1068.8599999999999</v>
      </c>
    </row>
    <row r="39" spans="1:14" x14ac:dyDescent="0.3">
      <c r="A39" s="3" t="s">
        <v>51</v>
      </c>
      <c r="B39" s="4">
        <v>45579</v>
      </c>
      <c r="C39" s="3" t="s">
        <v>1251</v>
      </c>
      <c r="D39" s="5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3">
      <c r="A40" s="3" t="s">
        <v>52</v>
      </c>
      <c r="B40" s="4">
        <v>45645</v>
      </c>
      <c r="C40" s="3" t="s">
        <v>1252</v>
      </c>
      <c r="D40" s="5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3">
      <c r="A41" s="3" t="s">
        <v>53</v>
      </c>
      <c r="B41" s="4">
        <v>45715</v>
      </c>
      <c r="C41" s="3" t="s">
        <v>1253</v>
      </c>
      <c r="D41" s="5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769.37999999999988</v>
      </c>
    </row>
    <row r="42" spans="1:14" x14ac:dyDescent="0.3">
      <c r="A42" s="3" t="s">
        <v>54</v>
      </c>
      <c r="B42" s="4">
        <v>45158</v>
      </c>
      <c r="C42" s="3" t="s">
        <v>1254</v>
      </c>
      <c r="D42" s="5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3">
      <c r="A43" s="3" t="s">
        <v>55</v>
      </c>
      <c r="B43" s="4">
        <v>45265</v>
      </c>
      <c r="C43" s="3" t="s">
        <v>1255</v>
      </c>
      <c r="D43" s="5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3">
      <c r="A44" s="3" t="s">
        <v>56</v>
      </c>
      <c r="B44" s="4">
        <v>45418</v>
      </c>
      <c r="C44" s="3" t="s">
        <v>1256</v>
      </c>
      <c r="D44" s="5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4283</v>
      </c>
      <c r="M44" s="3" t="s">
        <v>4278</v>
      </c>
      <c r="N44">
        <v>303.32</v>
      </c>
    </row>
    <row r="45" spans="1:14" x14ac:dyDescent="0.3">
      <c r="A45" s="3" t="s">
        <v>57</v>
      </c>
      <c r="B45" s="4">
        <v>45274</v>
      </c>
      <c r="C45" s="3" t="s">
        <v>1257</v>
      </c>
      <c r="D45" s="5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4283</v>
      </c>
      <c r="M45" s="3" t="s">
        <v>4278</v>
      </c>
      <c r="N45">
        <v>1497.63</v>
      </c>
    </row>
    <row r="46" spans="1:14" x14ac:dyDescent="0.3">
      <c r="A46" s="3" t="s">
        <v>58</v>
      </c>
      <c r="B46" s="4">
        <v>45768</v>
      </c>
      <c r="C46" s="3" t="s">
        <v>1258</v>
      </c>
      <c r="D46" s="5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3">
      <c r="A47" s="3" t="s">
        <v>59</v>
      </c>
      <c r="B47" s="4">
        <v>45332</v>
      </c>
      <c r="C47" s="3" t="s">
        <v>1259</v>
      </c>
      <c r="D47" s="5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3">
      <c r="A48" s="3" t="s">
        <v>60</v>
      </c>
      <c r="B48" s="4">
        <v>45469</v>
      </c>
      <c r="C48" s="3" t="s">
        <v>1260</v>
      </c>
      <c r="D48" s="5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3">
      <c r="A49" s="3" t="s">
        <v>61</v>
      </c>
      <c r="B49" s="4">
        <v>45126</v>
      </c>
      <c r="C49" s="3" t="s">
        <v>1261</v>
      </c>
      <c r="D49" s="5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3">
      <c r="A50" s="3" t="s">
        <v>62</v>
      </c>
      <c r="B50" s="4">
        <v>45164</v>
      </c>
      <c r="C50" s="3" t="s">
        <v>1262</v>
      </c>
      <c r="D50" s="5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4283</v>
      </c>
      <c r="M50" s="3" t="s">
        <v>4282</v>
      </c>
      <c r="N50">
        <v>161.54</v>
      </c>
    </row>
    <row r="51" spans="1:14" x14ac:dyDescent="0.3">
      <c r="A51" s="3" t="s">
        <v>63</v>
      </c>
      <c r="B51" s="4">
        <v>45206</v>
      </c>
      <c r="C51" s="3" t="s">
        <v>1263</v>
      </c>
      <c r="D51" s="5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3">
      <c r="A52" s="3" t="s">
        <v>64</v>
      </c>
      <c r="B52" s="4">
        <v>45138</v>
      </c>
      <c r="C52" s="3" t="s">
        <v>1264</v>
      </c>
      <c r="D52" s="5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3">
      <c r="A53" s="3" t="s">
        <v>65</v>
      </c>
      <c r="B53" s="4">
        <v>45656</v>
      </c>
      <c r="C53" s="3" t="s">
        <v>1265</v>
      </c>
      <c r="D53" s="5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3">
      <c r="A54" s="3" t="s">
        <v>66</v>
      </c>
      <c r="B54" s="4">
        <v>45543</v>
      </c>
      <c r="C54" s="3" t="s">
        <v>1266</v>
      </c>
      <c r="D54" s="5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3">
      <c r="A55" s="3" t="s">
        <v>67</v>
      </c>
      <c r="B55" s="4">
        <v>45430</v>
      </c>
      <c r="C55" s="3" t="s">
        <v>1267</v>
      </c>
      <c r="D55" s="5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3">
      <c r="A56" s="3" t="s">
        <v>68</v>
      </c>
      <c r="B56" s="4">
        <v>45743</v>
      </c>
      <c r="C56" s="3" t="s">
        <v>1268</v>
      </c>
      <c r="D56" s="5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3">
      <c r="A57" s="3" t="s">
        <v>69</v>
      </c>
      <c r="B57" s="4">
        <v>45832</v>
      </c>
      <c r="C57" s="3" t="s">
        <v>1269</v>
      </c>
      <c r="D57" s="5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4283</v>
      </c>
      <c r="M57" s="3" t="s">
        <v>4281</v>
      </c>
      <c r="N57">
        <v>1033.2</v>
      </c>
    </row>
    <row r="58" spans="1:14" x14ac:dyDescent="0.3">
      <c r="A58" s="3" t="s">
        <v>70</v>
      </c>
      <c r="B58" s="4">
        <v>45067</v>
      </c>
      <c r="C58" s="3" t="s">
        <v>1270</v>
      </c>
      <c r="D58" s="5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3">
      <c r="A59" s="3" t="s">
        <v>71</v>
      </c>
      <c r="B59" s="4">
        <v>44948</v>
      </c>
      <c r="C59" s="3" t="s">
        <v>1271</v>
      </c>
      <c r="D59" s="5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3">
      <c r="A60" s="3" t="s">
        <v>72</v>
      </c>
      <c r="B60" s="4">
        <v>44941</v>
      </c>
      <c r="C60" s="3" t="s">
        <v>1272</v>
      </c>
      <c r="D60" s="5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3">
      <c r="A61" s="3" t="s">
        <v>73</v>
      </c>
      <c r="B61" s="4">
        <v>45546</v>
      </c>
      <c r="C61" s="3" t="s">
        <v>1273</v>
      </c>
      <c r="D61" s="5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4283</v>
      </c>
      <c r="M61" s="3" t="s">
        <v>4281</v>
      </c>
      <c r="N61">
        <v>2373.08</v>
      </c>
    </row>
    <row r="62" spans="1:14" x14ac:dyDescent="0.3">
      <c r="A62" s="3" t="s">
        <v>74</v>
      </c>
      <c r="B62" s="4">
        <v>45525</v>
      </c>
      <c r="C62" s="3" t="s">
        <v>1274</v>
      </c>
      <c r="D62" s="5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3">
      <c r="A63" s="3" t="s">
        <v>75</v>
      </c>
      <c r="B63" s="4">
        <v>45375</v>
      </c>
      <c r="C63" s="3" t="s">
        <v>1275</v>
      </c>
      <c r="D63" s="5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3">
      <c r="A64" s="3" t="s">
        <v>76</v>
      </c>
      <c r="B64" s="4">
        <v>45160</v>
      </c>
      <c r="C64" s="3" t="s">
        <v>1276</v>
      </c>
      <c r="D64" s="5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3">
      <c r="A65" s="3" t="s">
        <v>77</v>
      </c>
      <c r="B65" s="4">
        <v>45690</v>
      </c>
      <c r="C65" s="3" t="s">
        <v>1277</v>
      </c>
      <c r="D65" s="5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3">
      <c r="A66" s="3" t="s">
        <v>78</v>
      </c>
      <c r="B66" s="4">
        <v>45833</v>
      </c>
      <c r="C66" s="3" t="s">
        <v>1278</v>
      </c>
      <c r="D66" s="5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3">
      <c r="A67" s="3" t="s">
        <v>79</v>
      </c>
      <c r="B67" s="4">
        <v>45290</v>
      </c>
      <c r="C67" s="3" t="s">
        <v>1279</v>
      </c>
      <c r="D67" s="5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4283</v>
      </c>
      <c r="M67" s="3" t="s">
        <v>4278</v>
      </c>
      <c r="N67">
        <v>408.5</v>
      </c>
    </row>
    <row r="68" spans="1:14" x14ac:dyDescent="0.3">
      <c r="A68" s="3" t="s">
        <v>80</v>
      </c>
      <c r="B68" s="4">
        <v>45611</v>
      </c>
      <c r="C68" s="3" t="s">
        <v>1280</v>
      </c>
      <c r="D68" s="5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635.90000000000009</v>
      </c>
    </row>
    <row r="69" spans="1:14" x14ac:dyDescent="0.3">
      <c r="A69" s="3" t="s">
        <v>81</v>
      </c>
      <c r="B69" s="4">
        <v>45635</v>
      </c>
      <c r="C69" s="3" t="s">
        <v>1281</v>
      </c>
      <c r="D69" s="5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4283</v>
      </c>
      <c r="M69" s="3" t="s">
        <v>4282</v>
      </c>
      <c r="N69">
        <v>48.4</v>
      </c>
    </row>
    <row r="70" spans="1:14" x14ac:dyDescent="0.3">
      <c r="A70" s="3" t="s">
        <v>82</v>
      </c>
      <c r="B70" s="4">
        <v>45271</v>
      </c>
      <c r="C70" s="3" t="s">
        <v>1282</v>
      </c>
      <c r="D70" s="5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3">
      <c r="A71" s="3" t="s">
        <v>83</v>
      </c>
      <c r="B71" s="4">
        <v>45057</v>
      </c>
      <c r="C71" s="3" t="s">
        <v>1283</v>
      </c>
      <c r="D71" s="5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4283</v>
      </c>
      <c r="M71" s="3" t="s">
        <v>4279</v>
      </c>
      <c r="N71">
        <v>1435.95</v>
      </c>
    </row>
    <row r="72" spans="1:14" x14ac:dyDescent="0.3">
      <c r="A72" s="3" t="s">
        <v>84</v>
      </c>
      <c r="B72" s="4">
        <v>45072</v>
      </c>
      <c r="C72" s="3" t="s">
        <v>1284</v>
      </c>
      <c r="D72" s="5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3">
      <c r="A73" s="3" t="s">
        <v>85</v>
      </c>
      <c r="B73" s="4">
        <v>45818</v>
      </c>
      <c r="C73" s="3" t="s">
        <v>1285</v>
      </c>
      <c r="D73" s="5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4283</v>
      </c>
      <c r="M73" s="3" t="s">
        <v>4279</v>
      </c>
      <c r="N73">
        <v>1303.3499999999999</v>
      </c>
    </row>
    <row r="74" spans="1:14" x14ac:dyDescent="0.3">
      <c r="A74" s="3" t="s">
        <v>86</v>
      </c>
      <c r="B74" s="4">
        <v>45648</v>
      </c>
      <c r="C74" s="3" t="s">
        <v>1286</v>
      </c>
      <c r="D74" s="5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4283</v>
      </c>
      <c r="M74" s="3" t="s">
        <v>4281</v>
      </c>
      <c r="N74">
        <v>2357.7600000000002</v>
      </c>
    </row>
    <row r="75" spans="1:14" x14ac:dyDescent="0.3">
      <c r="A75" s="3" t="s">
        <v>87</v>
      </c>
      <c r="B75" s="4">
        <v>45049</v>
      </c>
      <c r="C75" s="3" t="s">
        <v>1287</v>
      </c>
      <c r="D75" s="5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4283</v>
      </c>
      <c r="M75" s="3" t="s">
        <v>4281</v>
      </c>
      <c r="N75">
        <v>1733.8</v>
      </c>
    </row>
    <row r="76" spans="1:14" x14ac:dyDescent="0.3">
      <c r="A76" s="3" t="s">
        <v>88</v>
      </c>
      <c r="B76" s="4">
        <v>45101</v>
      </c>
      <c r="C76" s="3" t="s">
        <v>1288</v>
      </c>
      <c r="D76" s="5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4283</v>
      </c>
      <c r="M76" s="3" t="s">
        <v>4278</v>
      </c>
      <c r="N76">
        <v>454.35</v>
      </c>
    </row>
    <row r="77" spans="1:14" x14ac:dyDescent="0.3">
      <c r="A77" s="3" t="s">
        <v>89</v>
      </c>
      <c r="B77" s="4">
        <v>45195</v>
      </c>
      <c r="C77" s="3" t="s">
        <v>1289</v>
      </c>
      <c r="D77" s="5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3">
      <c r="A78" s="3" t="s">
        <v>90</v>
      </c>
      <c r="B78" s="4">
        <v>45382</v>
      </c>
      <c r="C78" s="3" t="s">
        <v>1290</v>
      </c>
      <c r="D78" s="5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3">
      <c r="A79" s="3" t="s">
        <v>91</v>
      </c>
      <c r="B79" s="4">
        <v>45436</v>
      </c>
      <c r="C79" s="3" t="s">
        <v>1291</v>
      </c>
      <c r="D79" s="5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4283</v>
      </c>
      <c r="M79" s="3" t="s">
        <v>4282</v>
      </c>
      <c r="N79">
        <v>583.17999999999995</v>
      </c>
    </row>
    <row r="80" spans="1:14" x14ac:dyDescent="0.3">
      <c r="A80" s="3" t="s">
        <v>92</v>
      </c>
      <c r="B80" s="4">
        <v>45510</v>
      </c>
      <c r="C80" s="3" t="s">
        <v>1292</v>
      </c>
      <c r="D80" s="5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3">
      <c r="A81" s="3" t="s">
        <v>93</v>
      </c>
      <c r="B81" s="4">
        <v>45726</v>
      </c>
      <c r="C81" s="3" t="s">
        <v>1293</v>
      </c>
      <c r="D81" s="5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4283</v>
      </c>
      <c r="M81" s="3" t="s">
        <v>4281</v>
      </c>
      <c r="N81">
        <v>623.82000000000005</v>
      </c>
    </row>
    <row r="82" spans="1:14" x14ac:dyDescent="0.3">
      <c r="A82" s="3" t="s">
        <v>94</v>
      </c>
      <c r="B82" s="4">
        <v>45104</v>
      </c>
      <c r="C82" s="3" t="s">
        <v>1294</v>
      </c>
      <c r="D82" s="5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4283</v>
      </c>
      <c r="M82" s="3" t="s">
        <v>4281</v>
      </c>
      <c r="N82">
        <v>1768.68</v>
      </c>
    </row>
    <row r="83" spans="1:14" x14ac:dyDescent="0.3">
      <c r="A83" s="3" t="s">
        <v>95</v>
      </c>
      <c r="B83" s="4">
        <v>45085</v>
      </c>
      <c r="C83" s="3" t="s">
        <v>1295</v>
      </c>
      <c r="D83" s="5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3">
      <c r="A84" s="3" t="s">
        <v>96</v>
      </c>
      <c r="B84" s="4">
        <v>45296</v>
      </c>
      <c r="C84" s="3" t="s">
        <v>1296</v>
      </c>
      <c r="D84" s="5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3">
      <c r="A85" s="3" t="s">
        <v>97</v>
      </c>
      <c r="B85" s="4">
        <v>45160</v>
      </c>
      <c r="C85" s="3" t="s">
        <v>1297</v>
      </c>
      <c r="D85" s="5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4283</v>
      </c>
      <c r="M85" s="3" t="s">
        <v>4279</v>
      </c>
      <c r="N85">
        <v>2161.64</v>
      </c>
    </row>
    <row r="86" spans="1:14" x14ac:dyDescent="0.3">
      <c r="A86" s="3" t="s">
        <v>98</v>
      </c>
      <c r="B86" s="4">
        <v>45166</v>
      </c>
      <c r="C86" s="3" t="s">
        <v>1298</v>
      </c>
      <c r="D86" s="5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3">
      <c r="A87" s="3" t="s">
        <v>99</v>
      </c>
      <c r="B87" s="4">
        <v>45544</v>
      </c>
      <c r="C87" s="3" t="s">
        <v>1299</v>
      </c>
      <c r="D87" s="5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440.18999999999988</v>
      </c>
    </row>
    <row r="88" spans="1:14" x14ac:dyDescent="0.3">
      <c r="A88" s="3" t="s">
        <v>100</v>
      </c>
      <c r="B88" s="4">
        <v>45462</v>
      </c>
      <c r="C88" s="3" t="s">
        <v>1300</v>
      </c>
      <c r="D88" s="5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3">
      <c r="A89" s="3" t="s">
        <v>101</v>
      </c>
      <c r="B89" s="4">
        <v>45575</v>
      </c>
      <c r="C89" s="3" t="s">
        <v>1301</v>
      </c>
      <c r="D89" s="5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3">
      <c r="A90" s="3" t="s">
        <v>102</v>
      </c>
      <c r="B90" s="4">
        <v>45813</v>
      </c>
      <c r="C90" s="3" t="s">
        <v>1302</v>
      </c>
      <c r="D90" s="5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4283</v>
      </c>
      <c r="M90" s="3" t="s">
        <v>4282</v>
      </c>
      <c r="N90">
        <v>344.43</v>
      </c>
    </row>
    <row r="91" spans="1:14" x14ac:dyDescent="0.3">
      <c r="A91" s="3" t="s">
        <v>103</v>
      </c>
      <c r="B91" s="4">
        <v>45713</v>
      </c>
      <c r="C91" s="3" t="s">
        <v>1303</v>
      </c>
      <c r="D91" s="5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3">
      <c r="A92" s="3" t="s">
        <v>104</v>
      </c>
      <c r="B92" s="4">
        <v>45187</v>
      </c>
      <c r="C92" s="3" t="s">
        <v>1304</v>
      </c>
      <c r="D92" s="5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3">
      <c r="A93" s="3" t="s">
        <v>105</v>
      </c>
      <c r="B93" s="4">
        <v>45000</v>
      </c>
      <c r="C93" s="3" t="s">
        <v>1305</v>
      </c>
      <c r="D93" s="5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3">
      <c r="A94" s="3" t="s">
        <v>106</v>
      </c>
      <c r="B94" s="4">
        <v>45453</v>
      </c>
      <c r="C94" s="3" t="s">
        <v>1306</v>
      </c>
      <c r="D94" s="5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3">
      <c r="A95" s="3" t="s">
        <v>107</v>
      </c>
      <c r="B95" s="4">
        <v>44940</v>
      </c>
      <c r="C95" s="3" t="s">
        <v>1307</v>
      </c>
      <c r="D95" s="5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4283</v>
      </c>
      <c r="M95" s="3" t="s">
        <v>4279</v>
      </c>
      <c r="N95">
        <v>1724.04</v>
      </c>
    </row>
    <row r="96" spans="1:14" x14ac:dyDescent="0.3">
      <c r="A96" s="3" t="s">
        <v>108</v>
      </c>
      <c r="B96" s="4">
        <v>44968</v>
      </c>
      <c r="C96" s="3" t="s">
        <v>1308</v>
      </c>
      <c r="D96" s="5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3">
      <c r="A97" s="3" t="s">
        <v>109</v>
      </c>
      <c r="B97" s="4">
        <v>45009</v>
      </c>
      <c r="C97" s="3" t="s">
        <v>1309</v>
      </c>
      <c r="D97" s="5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4283</v>
      </c>
      <c r="M97" s="3" t="s">
        <v>4279</v>
      </c>
      <c r="N97">
        <v>470.04</v>
      </c>
    </row>
    <row r="98" spans="1:14" x14ac:dyDescent="0.3">
      <c r="A98" s="3" t="s">
        <v>110</v>
      </c>
      <c r="B98" s="4">
        <v>45444</v>
      </c>
      <c r="C98" s="3" t="s">
        <v>1310</v>
      </c>
      <c r="D98" s="5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4283</v>
      </c>
      <c r="M98" s="3" t="s">
        <v>4278</v>
      </c>
      <c r="N98">
        <v>465.66</v>
      </c>
    </row>
    <row r="99" spans="1:14" x14ac:dyDescent="0.3">
      <c r="A99" s="3" t="s">
        <v>111</v>
      </c>
      <c r="B99" s="4">
        <v>45678</v>
      </c>
      <c r="C99" s="3" t="s">
        <v>1311</v>
      </c>
      <c r="D99" s="5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4283</v>
      </c>
      <c r="M99" s="3" t="s">
        <v>4280</v>
      </c>
      <c r="N99">
        <v>3097.6</v>
      </c>
    </row>
    <row r="100" spans="1:14" x14ac:dyDescent="0.3">
      <c r="A100" s="3" t="s">
        <v>112</v>
      </c>
      <c r="B100" s="4">
        <v>44940</v>
      </c>
      <c r="C100" s="3" t="s">
        <v>1312</v>
      </c>
      <c r="D100" s="5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4283</v>
      </c>
      <c r="M100" s="3" t="s">
        <v>4280</v>
      </c>
      <c r="N100">
        <v>457.08</v>
      </c>
    </row>
    <row r="101" spans="1:14" x14ac:dyDescent="0.3">
      <c r="A101" s="3" t="s">
        <v>113</v>
      </c>
      <c r="B101" s="4">
        <v>45759</v>
      </c>
      <c r="C101" s="3" t="s">
        <v>1313</v>
      </c>
      <c r="D101" s="5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3">
      <c r="A102" s="3" t="s">
        <v>114</v>
      </c>
      <c r="B102" s="4">
        <v>44974</v>
      </c>
      <c r="C102" s="3" t="s">
        <v>1314</v>
      </c>
      <c r="D102" s="5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4283</v>
      </c>
      <c r="M102" s="3" t="s">
        <v>4281</v>
      </c>
      <c r="N102">
        <v>1994.37</v>
      </c>
    </row>
    <row r="103" spans="1:14" x14ac:dyDescent="0.3">
      <c r="A103" s="3" t="s">
        <v>115</v>
      </c>
      <c r="B103" s="4">
        <v>45255</v>
      </c>
      <c r="C103" s="3" t="s">
        <v>1315</v>
      </c>
      <c r="D103" s="5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4283</v>
      </c>
      <c r="M103" s="3" t="s">
        <v>4282</v>
      </c>
      <c r="N103">
        <v>381.02</v>
      </c>
    </row>
    <row r="104" spans="1:14" x14ac:dyDescent="0.3">
      <c r="A104" s="3" t="s">
        <v>116</v>
      </c>
      <c r="B104" s="4">
        <v>44993</v>
      </c>
      <c r="C104" s="3" t="s">
        <v>1316</v>
      </c>
      <c r="D104" s="5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3">
      <c r="A105" s="3" t="s">
        <v>117</v>
      </c>
      <c r="B105" s="4">
        <v>45682</v>
      </c>
      <c r="C105" s="3" t="s">
        <v>1317</v>
      </c>
      <c r="D105" s="5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3">
      <c r="A106" s="3" t="s">
        <v>118</v>
      </c>
      <c r="B106" s="4">
        <v>45503</v>
      </c>
      <c r="C106" s="3" t="s">
        <v>1318</v>
      </c>
      <c r="D106" s="5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3">
      <c r="A107" s="3" t="s">
        <v>119</v>
      </c>
      <c r="B107" s="4">
        <v>45589</v>
      </c>
      <c r="C107" s="3" t="s">
        <v>1319</v>
      </c>
      <c r="D107" s="5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4283</v>
      </c>
      <c r="M107" s="3" t="s">
        <v>4281</v>
      </c>
      <c r="N107">
        <v>556.20000000000005</v>
      </c>
    </row>
    <row r="108" spans="1:14" x14ac:dyDescent="0.3">
      <c r="A108" s="3" t="s">
        <v>120</v>
      </c>
      <c r="B108" s="4">
        <v>45177</v>
      </c>
      <c r="C108" s="3" t="s">
        <v>1320</v>
      </c>
      <c r="D108" s="5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3">
      <c r="A109" s="3" t="s">
        <v>121</v>
      </c>
      <c r="B109" s="4">
        <v>45012</v>
      </c>
      <c r="C109" s="3" t="s">
        <v>1321</v>
      </c>
      <c r="D109" s="5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3">
      <c r="A110" s="3" t="s">
        <v>122</v>
      </c>
      <c r="B110" s="4">
        <v>45654</v>
      </c>
      <c r="C110" s="3" t="s">
        <v>1322</v>
      </c>
      <c r="D110" s="5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3">
      <c r="A111" s="3" t="s">
        <v>123</v>
      </c>
      <c r="B111" s="4">
        <v>45186</v>
      </c>
      <c r="C111" s="3" t="s">
        <v>1323</v>
      </c>
      <c r="D111" s="5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3">
      <c r="A112" s="3" t="s">
        <v>124</v>
      </c>
      <c r="B112" s="4">
        <v>45403</v>
      </c>
      <c r="C112" s="3" t="s">
        <v>1324</v>
      </c>
      <c r="D112" s="5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3">
      <c r="A113" s="3" t="s">
        <v>125</v>
      </c>
      <c r="B113" s="4">
        <v>45784</v>
      </c>
      <c r="C113" s="3" t="s">
        <v>1325</v>
      </c>
      <c r="D113" s="5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927.66000000000008</v>
      </c>
    </row>
    <row r="114" spans="1:14" x14ac:dyDescent="0.3">
      <c r="A114" s="3" t="s">
        <v>126</v>
      </c>
      <c r="B114" s="4">
        <v>44927</v>
      </c>
      <c r="C114" s="3" t="s">
        <v>1326</v>
      </c>
      <c r="D114" s="5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3">
      <c r="A115" s="3" t="s">
        <v>127</v>
      </c>
      <c r="B115" s="4">
        <v>45308</v>
      </c>
      <c r="C115" s="3" t="s">
        <v>1327</v>
      </c>
      <c r="D115" s="5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950.40000000000009</v>
      </c>
    </row>
    <row r="116" spans="1:14" x14ac:dyDescent="0.3">
      <c r="A116" s="3" t="s">
        <v>128</v>
      </c>
      <c r="B116" s="4">
        <v>45684</v>
      </c>
      <c r="C116" s="3" t="s">
        <v>1328</v>
      </c>
      <c r="D116" s="5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3">
      <c r="A117" s="3" t="s">
        <v>129</v>
      </c>
      <c r="B117" s="4">
        <v>45257</v>
      </c>
      <c r="C117" s="3" t="s">
        <v>1329</v>
      </c>
      <c r="D117" s="5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3">
      <c r="A118" s="3" t="s">
        <v>130</v>
      </c>
      <c r="B118" s="4">
        <v>45004</v>
      </c>
      <c r="C118" s="3" t="s">
        <v>1330</v>
      </c>
      <c r="D118" s="5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3">
      <c r="A119" s="3" t="s">
        <v>131</v>
      </c>
      <c r="B119" s="4">
        <v>44993</v>
      </c>
      <c r="C119" s="3" t="s">
        <v>1331</v>
      </c>
      <c r="D119" s="5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3">
      <c r="A120" s="3" t="s">
        <v>132</v>
      </c>
      <c r="B120" s="4">
        <v>45208</v>
      </c>
      <c r="C120" s="3" t="s">
        <v>1332</v>
      </c>
      <c r="D120" s="5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3">
      <c r="A121" s="3" t="s">
        <v>133</v>
      </c>
      <c r="B121" s="4">
        <v>45819</v>
      </c>
      <c r="C121" s="3" t="s">
        <v>1333</v>
      </c>
      <c r="D121" s="5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3">
      <c r="A122" s="3" t="s">
        <v>134</v>
      </c>
      <c r="B122" s="4">
        <v>45027</v>
      </c>
      <c r="C122" s="3" t="s">
        <v>1334</v>
      </c>
      <c r="D122" s="5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3">
      <c r="A123" s="3" t="s">
        <v>135</v>
      </c>
      <c r="B123" s="4">
        <v>45260</v>
      </c>
      <c r="C123" s="3" t="s">
        <v>1335</v>
      </c>
      <c r="D123" s="5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3">
      <c r="A124" s="3" t="s">
        <v>136</v>
      </c>
      <c r="B124" s="4">
        <v>45397</v>
      </c>
      <c r="C124" s="3" t="s">
        <v>1336</v>
      </c>
      <c r="D124" s="5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4283</v>
      </c>
      <c r="M124" s="3" t="s">
        <v>4281</v>
      </c>
      <c r="N124">
        <v>1066.04</v>
      </c>
    </row>
    <row r="125" spans="1:14" x14ac:dyDescent="0.3">
      <c r="A125" s="3" t="s">
        <v>137</v>
      </c>
      <c r="B125" s="4">
        <v>45113</v>
      </c>
      <c r="C125" s="3" t="s">
        <v>1337</v>
      </c>
      <c r="D125" s="5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4283</v>
      </c>
      <c r="M125" s="3" t="s">
        <v>4278</v>
      </c>
      <c r="N125">
        <v>834.12000000000012</v>
      </c>
    </row>
    <row r="126" spans="1:14" x14ac:dyDescent="0.3">
      <c r="A126" s="3" t="s">
        <v>138</v>
      </c>
      <c r="B126" s="4">
        <v>45501</v>
      </c>
      <c r="C126" s="3" t="s">
        <v>1338</v>
      </c>
      <c r="D126" s="5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4283</v>
      </c>
      <c r="M126" s="3" t="s">
        <v>4282</v>
      </c>
      <c r="N126">
        <v>1135.1600000000001</v>
      </c>
    </row>
    <row r="127" spans="1:14" x14ac:dyDescent="0.3">
      <c r="A127" s="3" t="s">
        <v>139</v>
      </c>
      <c r="B127" s="4">
        <v>45602</v>
      </c>
      <c r="C127" s="3" t="s">
        <v>1339</v>
      </c>
      <c r="D127" s="5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3">
      <c r="A128" s="3" t="s">
        <v>140</v>
      </c>
      <c r="B128" s="4">
        <v>45780</v>
      </c>
      <c r="C128" s="3" t="s">
        <v>1340</v>
      </c>
      <c r="D128" s="5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3">
      <c r="A129" s="3" t="s">
        <v>141</v>
      </c>
      <c r="B129" s="4">
        <v>45148</v>
      </c>
      <c r="C129" s="3" t="s">
        <v>1341</v>
      </c>
      <c r="D129" s="5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4283</v>
      </c>
      <c r="M129" s="3" t="s">
        <v>4282</v>
      </c>
      <c r="N129">
        <v>1407.96</v>
      </c>
    </row>
    <row r="130" spans="1:14" x14ac:dyDescent="0.3">
      <c r="A130" s="3" t="s">
        <v>142</v>
      </c>
      <c r="B130" s="4">
        <v>44974</v>
      </c>
      <c r="C130" s="3" t="s">
        <v>1342</v>
      </c>
      <c r="D130" s="5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3">
      <c r="A131" s="3" t="s">
        <v>143</v>
      </c>
      <c r="B131" s="4">
        <v>45226</v>
      </c>
      <c r="C131" s="3" t="s">
        <v>1343</v>
      </c>
      <c r="D131" s="5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3">
      <c r="A132" s="3" t="s">
        <v>144</v>
      </c>
      <c r="B132" s="4">
        <v>45679</v>
      </c>
      <c r="C132" s="3" t="s">
        <v>1344</v>
      </c>
      <c r="D132" s="5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3">
      <c r="A133" s="3" t="s">
        <v>145</v>
      </c>
      <c r="B133" s="4">
        <v>44934</v>
      </c>
      <c r="C133" s="3" t="s">
        <v>1345</v>
      </c>
      <c r="D133" s="5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4283</v>
      </c>
      <c r="M133" s="3" t="s">
        <v>4278</v>
      </c>
      <c r="N133">
        <v>84.8</v>
      </c>
    </row>
    <row r="134" spans="1:14" x14ac:dyDescent="0.3">
      <c r="A134" s="3" t="s">
        <v>146</v>
      </c>
      <c r="B134" s="4">
        <v>45013</v>
      </c>
      <c r="C134" s="3" t="s">
        <v>1346</v>
      </c>
      <c r="D134" s="5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3">
      <c r="A135" s="3" t="s">
        <v>147</v>
      </c>
      <c r="B135" s="4">
        <v>45828</v>
      </c>
      <c r="C135" s="3" t="s">
        <v>1347</v>
      </c>
      <c r="D135" s="5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3">
      <c r="A136" s="3" t="s">
        <v>148</v>
      </c>
      <c r="B136" s="4">
        <v>45831</v>
      </c>
      <c r="C136" s="3" t="s">
        <v>1348</v>
      </c>
      <c r="D136" s="5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4283</v>
      </c>
      <c r="M136" s="3" t="s">
        <v>4280</v>
      </c>
      <c r="N136">
        <v>399.4</v>
      </c>
    </row>
    <row r="137" spans="1:14" x14ac:dyDescent="0.3">
      <c r="A137" s="3" t="s">
        <v>149</v>
      </c>
      <c r="B137" s="4">
        <v>45142</v>
      </c>
      <c r="C137" s="3" t="s">
        <v>1349</v>
      </c>
      <c r="D137" s="5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3">
      <c r="A138" s="3" t="s">
        <v>150</v>
      </c>
      <c r="B138" s="4">
        <v>45409</v>
      </c>
      <c r="C138" s="3" t="s">
        <v>1350</v>
      </c>
      <c r="D138" s="5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3">
      <c r="A139" s="3" t="s">
        <v>151</v>
      </c>
      <c r="B139" s="4">
        <v>45622</v>
      </c>
      <c r="C139" s="3" t="s">
        <v>1351</v>
      </c>
      <c r="D139" s="5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4283</v>
      </c>
      <c r="M139" s="3" t="s">
        <v>4282</v>
      </c>
      <c r="N139">
        <v>501.96</v>
      </c>
    </row>
    <row r="140" spans="1:14" x14ac:dyDescent="0.3">
      <c r="A140" s="3" t="s">
        <v>152</v>
      </c>
      <c r="B140" s="4">
        <v>45281</v>
      </c>
      <c r="C140" s="3" t="s">
        <v>1352</v>
      </c>
      <c r="D140" s="5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3">
      <c r="A141" s="3" t="s">
        <v>153</v>
      </c>
      <c r="B141" s="4">
        <v>45026</v>
      </c>
      <c r="C141" s="3" t="s">
        <v>1353</v>
      </c>
      <c r="D141" s="5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4283</v>
      </c>
      <c r="M141" s="3" t="s">
        <v>4280</v>
      </c>
      <c r="N141">
        <v>583.9</v>
      </c>
    </row>
    <row r="142" spans="1:14" x14ac:dyDescent="0.3">
      <c r="A142" s="3" t="s">
        <v>154</v>
      </c>
      <c r="B142" s="4">
        <v>45808</v>
      </c>
      <c r="C142" s="3" t="s">
        <v>1354</v>
      </c>
      <c r="D142" s="5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3">
      <c r="A143" s="3" t="s">
        <v>155</v>
      </c>
      <c r="B143" s="4">
        <v>45248</v>
      </c>
      <c r="C143" s="3" t="s">
        <v>1355</v>
      </c>
      <c r="D143" s="5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3">
      <c r="A144" s="3" t="s">
        <v>156</v>
      </c>
      <c r="B144" s="4">
        <v>45175</v>
      </c>
      <c r="C144" s="3" t="s">
        <v>1356</v>
      </c>
      <c r="D144" s="5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3">
      <c r="A145" s="3" t="s">
        <v>157</v>
      </c>
      <c r="B145" s="4">
        <v>45456</v>
      </c>
      <c r="C145" s="3" t="s">
        <v>1357</v>
      </c>
      <c r="D145" s="5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4283</v>
      </c>
      <c r="M145" s="3" t="s">
        <v>4279</v>
      </c>
      <c r="N145">
        <v>1600.28</v>
      </c>
    </row>
    <row r="146" spans="1:14" x14ac:dyDescent="0.3">
      <c r="A146" s="3" t="s">
        <v>158</v>
      </c>
      <c r="B146" s="4">
        <v>45142</v>
      </c>
      <c r="C146" s="3" t="s">
        <v>1358</v>
      </c>
      <c r="D146" s="5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4283</v>
      </c>
      <c r="M146" s="3" t="s">
        <v>4281</v>
      </c>
      <c r="N146">
        <v>1098.9000000000001</v>
      </c>
    </row>
    <row r="147" spans="1:14" x14ac:dyDescent="0.3">
      <c r="A147" s="3" t="s">
        <v>159</v>
      </c>
      <c r="B147" s="4">
        <v>45353</v>
      </c>
      <c r="C147" s="3" t="s">
        <v>1359</v>
      </c>
      <c r="D147" s="5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3">
      <c r="A148" s="3" t="s">
        <v>160</v>
      </c>
      <c r="B148" s="4">
        <v>45777</v>
      </c>
      <c r="C148" s="3" t="s">
        <v>1360</v>
      </c>
      <c r="D148" s="5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4283</v>
      </c>
      <c r="M148" s="3" t="s">
        <v>4278</v>
      </c>
      <c r="N148">
        <v>822.98</v>
      </c>
    </row>
    <row r="149" spans="1:14" x14ac:dyDescent="0.3">
      <c r="A149" s="3" t="s">
        <v>161</v>
      </c>
      <c r="B149" s="4">
        <v>45783</v>
      </c>
      <c r="C149" s="3" t="s">
        <v>1361</v>
      </c>
      <c r="D149" s="5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3">
      <c r="A150" s="3" t="s">
        <v>162</v>
      </c>
      <c r="B150" s="4">
        <v>45641</v>
      </c>
      <c r="C150" s="3" t="s">
        <v>1362</v>
      </c>
      <c r="D150" s="5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3">
      <c r="A151" s="3" t="s">
        <v>163</v>
      </c>
      <c r="B151" s="4">
        <v>45287</v>
      </c>
      <c r="C151" s="3" t="s">
        <v>1363</v>
      </c>
      <c r="D151" s="5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4283</v>
      </c>
      <c r="M151" s="3" t="s">
        <v>4281</v>
      </c>
      <c r="N151">
        <v>217.56</v>
      </c>
    </row>
    <row r="152" spans="1:14" x14ac:dyDescent="0.3">
      <c r="A152" s="3" t="s">
        <v>164</v>
      </c>
      <c r="B152" s="4">
        <v>45273</v>
      </c>
      <c r="C152" s="3" t="s">
        <v>1364</v>
      </c>
      <c r="D152" s="5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3">
      <c r="A153" s="3" t="s">
        <v>165</v>
      </c>
      <c r="B153" s="4">
        <v>45261</v>
      </c>
      <c r="C153" s="3" t="s">
        <v>1365</v>
      </c>
      <c r="D153" s="5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4283</v>
      </c>
      <c r="M153" s="3" t="s">
        <v>4280</v>
      </c>
      <c r="N153">
        <v>2223.8000000000002</v>
      </c>
    </row>
    <row r="154" spans="1:14" x14ac:dyDescent="0.3">
      <c r="A154" s="3" t="s">
        <v>166</v>
      </c>
      <c r="B154" s="4">
        <v>45659</v>
      </c>
      <c r="C154" s="3" t="s">
        <v>1366</v>
      </c>
      <c r="D154" s="5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3">
      <c r="A155" s="3" t="s">
        <v>167</v>
      </c>
      <c r="B155" s="4">
        <v>45644</v>
      </c>
      <c r="C155" s="3" t="s">
        <v>1367</v>
      </c>
      <c r="D155" s="5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3">
      <c r="A156" s="3" t="s">
        <v>168</v>
      </c>
      <c r="B156" s="4">
        <v>45127</v>
      </c>
      <c r="C156" s="3" t="s">
        <v>1368</v>
      </c>
      <c r="D156" s="5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4283</v>
      </c>
      <c r="M156" s="3" t="s">
        <v>4278</v>
      </c>
      <c r="N156">
        <v>1632.84</v>
      </c>
    </row>
    <row r="157" spans="1:14" x14ac:dyDescent="0.3">
      <c r="A157" s="3" t="s">
        <v>169</v>
      </c>
      <c r="B157" s="4">
        <v>44984</v>
      </c>
      <c r="C157" s="3" t="s">
        <v>1369</v>
      </c>
      <c r="D157" s="5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3">
      <c r="A158" s="3" t="s">
        <v>170</v>
      </c>
      <c r="B158" s="4">
        <v>45604</v>
      </c>
      <c r="C158" s="3" t="s">
        <v>1370</v>
      </c>
      <c r="D158" s="5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3">
      <c r="A159" s="3" t="s">
        <v>171</v>
      </c>
      <c r="B159" s="4">
        <v>45709</v>
      </c>
      <c r="C159" s="3" t="s">
        <v>1371</v>
      </c>
      <c r="D159" s="5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3">
      <c r="A160" s="3" t="s">
        <v>172</v>
      </c>
      <c r="B160" s="4">
        <v>45428</v>
      </c>
      <c r="C160" s="3" t="s">
        <v>1372</v>
      </c>
      <c r="D160" s="5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3">
      <c r="A161" s="3" t="s">
        <v>173</v>
      </c>
      <c r="B161" s="4">
        <v>45230</v>
      </c>
      <c r="C161" s="3" t="s">
        <v>1373</v>
      </c>
      <c r="D161" s="5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3">
      <c r="A162" s="3" t="s">
        <v>174</v>
      </c>
      <c r="B162" s="4">
        <v>44974</v>
      </c>
      <c r="C162" s="3" t="s">
        <v>1374</v>
      </c>
      <c r="D162" s="5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4283</v>
      </c>
      <c r="M162" s="3" t="s">
        <v>4279</v>
      </c>
      <c r="N162">
        <v>405.28</v>
      </c>
    </row>
    <row r="163" spans="1:14" x14ac:dyDescent="0.3">
      <c r="A163" s="3" t="s">
        <v>175</v>
      </c>
      <c r="B163" s="4">
        <v>45380</v>
      </c>
      <c r="C163" s="3" t="s">
        <v>1375</v>
      </c>
      <c r="D163" s="5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3">
      <c r="A164" s="3" t="s">
        <v>176</v>
      </c>
      <c r="B164" s="4">
        <v>45134</v>
      </c>
      <c r="C164" s="3" t="s">
        <v>1376</v>
      </c>
      <c r="D164" s="5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3">
      <c r="A165" s="3" t="s">
        <v>177</v>
      </c>
      <c r="B165" s="4">
        <v>45832</v>
      </c>
      <c r="C165" s="3" t="s">
        <v>1377</v>
      </c>
      <c r="D165" s="5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4283</v>
      </c>
      <c r="M165" s="3" t="s">
        <v>4279</v>
      </c>
      <c r="N165">
        <v>641.39</v>
      </c>
    </row>
    <row r="166" spans="1:14" x14ac:dyDescent="0.3">
      <c r="A166" s="3" t="s">
        <v>178</v>
      </c>
      <c r="B166" s="4">
        <v>45288</v>
      </c>
      <c r="C166" s="3" t="s">
        <v>1378</v>
      </c>
      <c r="D166" s="5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3">
      <c r="A167" s="3" t="s">
        <v>179</v>
      </c>
      <c r="B167" s="4">
        <v>45549</v>
      </c>
      <c r="C167" s="3" t="s">
        <v>1379</v>
      </c>
      <c r="D167" s="5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3">
      <c r="A168" s="3" t="s">
        <v>180</v>
      </c>
      <c r="B168" s="4">
        <v>45720</v>
      </c>
      <c r="C168" s="3" t="s">
        <v>1380</v>
      </c>
      <c r="D168" s="5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3">
      <c r="A169" s="3" t="s">
        <v>181</v>
      </c>
      <c r="B169" s="4">
        <v>45073</v>
      </c>
      <c r="C169" s="3" t="s">
        <v>1381</v>
      </c>
      <c r="D169" s="5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3">
      <c r="A170" s="3" t="s">
        <v>182</v>
      </c>
      <c r="B170" s="4">
        <v>45661</v>
      </c>
      <c r="C170" s="3" t="s">
        <v>1382</v>
      </c>
      <c r="D170" s="5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4283</v>
      </c>
      <c r="M170" s="3" t="s">
        <v>4281</v>
      </c>
      <c r="N170">
        <v>594.96</v>
      </c>
    </row>
    <row r="171" spans="1:14" x14ac:dyDescent="0.3">
      <c r="A171" s="3" t="s">
        <v>183</v>
      </c>
      <c r="B171" s="4">
        <v>45389</v>
      </c>
      <c r="C171" s="3" t="s">
        <v>1383</v>
      </c>
      <c r="D171" s="5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3">
      <c r="A172" s="3" t="s">
        <v>184</v>
      </c>
      <c r="B172" s="4">
        <v>45751</v>
      </c>
      <c r="C172" s="3" t="s">
        <v>1384</v>
      </c>
      <c r="D172" s="5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3">
      <c r="A173" s="3" t="s">
        <v>185</v>
      </c>
      <c r="B173" s="4">
        <v>45153</v>
      </c>
      <c r="C173" s="3" t="s">
        <v>1385</v>
      </c>
      <c r="D173" s="5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3">
      <c r="A174" s="3" t="s">
        <v>186</v>
      </c>
      <c r="B174" s="4">
        <v>45753</v>
      </c>
      <c r="C174" s="3" t="s">
        <v>1386</v>
      </c>
      <c r="D174" s="5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3">
      <c r="A175" s="3" t="s">
        <v>187</v>
      </c>
      <c r="B175" s="4">
        <v>45375</v>
      </c>
      <c r="C175" s="3" t="s">
        <v>1387</v>
      </c>
      <c r="D175" s="5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3">
      <c r="A176" s="3" t="s">
        <v>188</v>
      </c>
      <c r="B176" s="4">
        <v>45398</v>
      </c>
      <c r="C176" s="3" t="s">
        <v>1388</v>
      </c>
      <c r="D176" s="5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3">
      <c r="A177" s="3" t="s">
        <v>189</v>
      </c>
      <c r="B177" s="4">
        <v>45696</v>
      </c>
      <c r="C177" s="3" t="s">
        <v>1389</v>
      </c>
      <c r="D177" s="5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3">
      <c r="A178" s="3" t="s">
        <v>190</v>
      </c>
      <c r="B178" s="4">
        <v>45836</v>
      </c>
      <c r="C178" s="3" t="s">
        <v>1390</v>
      </c>
      <c r="D178" s="5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3">
      <c r="A179" s="3" t="s">
        <v>191</v>
      </c>
      <c r="B179" s="4">
        <v>45143</v>
      </c>
      <c r="C179" s="3" t="s">
        <v>1391</v>
      </c>
      <c r="D179" s="5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4283</v>
      </c>
      <c r="M179" s="3" t="s">
        <v>4281</v>
      </c>
      <c r="N179">
        <v>2158.4499999999998</v>
      </c>
    </row>
    <row r="180" spans="1:14" x14ac:dyDescent="0.3">
      <c r="A180" s="3" t="s">
        <v>192</v>
      </c>
      <c r="B180" s="4">
        <v>45393</v>
      </c>
      <c r="C180" s="3" t="s">
        <v>1392</v>
      </c>
      <c r="D180" s="5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3">
      <c r="A181" s="3" t="s">
        <v>193</v>
      </c>
      <c r="B181" s="4">
        <v>45620</v>
      </c>
      <c r="C181" s="3" t="s">
        <v>1393</v>
      </c>
      <c r="D181" s="5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4283</v>
      </c>
      <c r="M181" s="3" t="s">
        <v>4280</v>
      </c>
      <c r="N181">
        <v>1619.73</v>
      </c>
    </row>
    <row r="182" spans="1:14" x14ac:dyDescent="0.3">
      <c r="A182" s="3" t="s">
        <v>194</v>
      </c>
      <c r="B182" s="4">
        <v>45003</v>
      </c>
      <c r="C182" s="3" t="s">
        <v>1394</v>
      </c>
      <c r="D182" s="5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4283</v>
      </c>
      <c r="M182" s="3" t="s">
        <v>4282</v>
      </c>
      <c r="N182">
        <v>1580.35</v>
      </c>
    </row>
    <row r="183" spans="1:14" x14ac:dyDescent="0.3">
      <c r="A183" s="3" t="s">
        <v>195</v>
      </c>
      <c r="B183" s="4">
        <v>45535</v>
      </c>
      <c r="C183" s="3" t="s">
        <v>1395</v>
      </c>
      <c r="D183" s="5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4283</v>
      </c>
      <c r="M183" s="3" t="s">
        <v>4279</v>
      </c>
      <c r="N183">
        <v>2021.95</v>
      </c>
    </row>
    <row r="184" spans="1:14" x14ac:dyDescent="0.3">
      <c r="A184" s="3" t="s">
        <v>196</v>
      </c>
      <c r="B184" s="4">
        <v>45735</v>
      </c>
      <c r="C184" s="3" t="s">
        <v>1396</v>
      </c>
      <c r="D184" s="5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3">
      <c r="A185" s="3" t="s">
        <v>197</v>
      </c>
      <c r="B185" s="4">
        <v>45400</v>
      </c>
      <c r="C185" s="3" t="s">
        <v>1397</v>
      </c>
      <c r="D185" s="5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3">
      <c r="A186" s="3" t="s">
        <v>198</v>
      </c>
      <c r="B186" s="4">
        <v>45386</v>
      </c>
      <c r="C186" s="3" t="s">
        <v>1398</v>
      </c>
      <c r="D186" s="5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4283</v>
      </c>
      <c r="M186" s="3" t="s">
        <v>4279</v>
      </c>
      <c r="N186">
        <v>858.16</v>
      </c>
    </row>
    <row r="187" spans="1:14" x14ac:dyDescent="0.3">
      <c r="A187" s="3" t="s">
        <v>199</v>
      </c>
      <c r="B187" s="4">
        <v>45690</v>
      </c>
      <c r="C187" s="3" t="s">
        <v>1399</v>
      </c>
      <c r="D187" s="5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3">
      <c r="A188" s="3" t="s">
        <v>200</v>
      </c>
      <c r="B188" s="4">
        <v>45267</v>
      </c>
      <c r="C188" s="3" t="s">
        <v>1400</v>
      </c>
      <c r="D188" s="5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3">
      <c r="A189" s="3" t="s">
        <v>201</v>
      </c>
      <c r="B189" s="4">
        <v>44965</v>
      </c>
      <c r="C189" s="3" t="s">
        <v>1401</v>
      </c>
      <c r="D189" s="5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3">
      <c r="A190" s="3" t="s">
        <v>202</v>
      </c>
      <c r="B190" s="4">
        <v>45731</v>
      </c>
      <c r="C190" s="3" t="s">
        <v>1402</v>
      </c>
      <c r="D190" s="5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3">
      <c r="A191" s="3" t="s">
        <v>203</v>
      </c>
      <c r="B191" s="4">
        <v>45112</v>
      </c>
      <c r="C191" s="3" t="s">
        <v>1403</v>
      </c>
      <c r="D191" s="5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3">
      <c r="A192" s="3" t="s">
        <v>204</v>
      </c>
      <c r="B192" s="4">
        <v>45535</v>
      </c>
      <c r="C192" s="3" t="s">
        <v>1404</v>
      </c>
      <c r="D192" s="5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671.09999999999991</v>
      </c>
    </row>
    <row r="193" spans="1:14" x14ac:dyDescent="0.3">
      <c r="A193" s="3" t="s">
        <v>205</v>
      </c>
      <c r="B193" s="4">
        <v>45724</v>
      </c>
      <c r="C193" s="3" t="s">
        <v>1405</v>
      </c>
      <c r="D193" s="5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3">
      <c r="A194" s="3" t="s">
        <v>206</v>
      </c>
      <c r="B194" s="4">
        <v>45149</v>
      </c>
      <c r="C194" s="3" t="s">
        <v>1406</v>
      </c>
      <c r="D194" s="5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3">
      <c r="A195" s="3" t="s">
        <v>207</v>
      </c>
      <c r="B195" s="4">
        <v>45128</v>
      </c>
      <c r="C195" s="3" t="s">
        <v>1407</v>
      </c>
      <c r="D195" s="5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4283</v>
      </c>
      <c r="M195" s="3" t="s">
        <v>4282</v>
      </c>
      <c r="N195">
        <v>46.66</v>
      </c>
    </row>
    <row r="196" spans="1:14" x14ac:dyDescent="0.3">
      <c r="A196" s="3" t="s">
        <v>208</v>
      </c>
      <c r="B196" s="4">
        <v>45451</v>
      </c>
      <c r="C196" s="3" t="s">
        <v>1408</v>
      </c>
      <c r="D196" s="5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3">
      <c r="A197" s="3" t="s">
        <v>209</v>
      </c>
      <c r="B197" s="4">
        <v>45404</v>
      </c>
      <c r="C197" s="3" t="s">
        <v>1409</v>
      </c>
      <c r="D197" s="5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4283</v>
      </c>
      <c r="M197" s="3" t="s">
        <v>4280</v>
      </c>
      <c r="N197">
        <v>1857.63</v>
      </c>
    </row>
    <row r="198" spans="1:14" x14ac:dyDescent="0.3">
      <c r="A198" s="3" t="s">
        <v>210</v>
      </c>
      <c r="B198" s="4">
        <v>45681</v>
      </c>
      <c r="C198" s="3" t="s">
        <v>1410</v>
      </c>
      <c r="D198" s="5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3">
      <c r="A199" s="3" t="s">
        <v>211</v>
      </c>
      <c r="B199" s="4">
        <v>45165</v>
      </c>
      <c r="C199" s="3" t="s">
        <v>1411</v>
      </c>
      <c r="D199" s="5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3">
      <c r="A200" s="3" t="s">
        <v>212</v>
      </c>
      <c r="B200" s="4">
        <v>45454</v>
      </c>
      <c r="C200" s="3" t="s">
        <v>1412</v>
      </c>
      <c r="D200" s="5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3">
      <c r="A201" s="3" t="s">
        <v>213</v>
      </c>
      <c r="B201" s="4">
        <v>45680</v>
      </c>
      <c r="C201" s="3" t="s">
        <v>1413</v>
      </c>
      <c r="D201" s="5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3">
      <c r="A202" s="3" t="s">
        <v>214</v>
      </c>
      <c r="B202" s="4">
        <v>45815</v>
      </c>
      <c r="C202" s="3" t="s">
        <v>1414</v>
      </c>
      <c r="D202" s="5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3">
      <c r="A203" s="3" t="s">
        <v>215</v>
      </c>
      <c r="B203" s="4">
        <v>45095</v>
      </c>
      <c r="C203" s="3" t="s">
        <v>1415</v>
      </c>
      <c r="D203" s="5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3">
      <c r="A204" s="3" t="s">
        <v>216</v>
      </c>
      <c r="B204" s="4">
        <v>45694</v>
      </c>
      <c r="C204" s="3" t="s">
        <v>1416</v>
      </c>
      <c r="D204" s="5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761.93999999999994</v>
      </c>
    </row>
    <row r="205" spans="1:14" x14ac:dyDescent="0.3">
      <c r="A205" s="3" t="s">
        <v>217</v>
      </c>
      <c r="B205" s="4">
        <v>45678</v>
      </c>
      <c r="C205" s="3" t="s">
        <v>1417</v>
      </c>
      <c r="D205" s="5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3">
      <c r="A206" s="3" t="s">
        <v>218</v>
      </c>
      <c r="B206" s="4">
        <v>45174</v>
      </c>
      <c r="C206" s="3" t="s">
        <v>1418</v>
      </c>
      <c r="D206" s="5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3">
      <c r="A207" s="3" t="s">
        <v>219</v>
      </c>
      <c r="B207" s="4">
        <v>44989</v>
      </c>
      <c r="C207" s="3" t="s">
        <v>1419</v>
      </c>
      <c r="D207" s="5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4283</v>
      </c>
      <c r="M207" s="3" t="s">
        <v>4280</v>
      </c>
      <c r="N207">
        <v>442.17</v>
      </c>
    </row>
    <row r="208" spans="1:14" x14ac:dyDescent="0.3">
      <c r="A208" s="3" t="s">
        <v>220</v>
      </c>
      <c r="B208" s="4">
        <v>45398</v>
      </c>
      <c r="C208" s="3" t="s">
        <v>1420</v>
      </c>
      <c r="D208" s="5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3">
      <c r="A209" s="3" t="s">
        <v>221</v>
      </c>
      <c r="B209" s="4">
        <v>45734</v>
      </c>
      <c r="C209" s="3" t="s">
        <v>1421</v>
      </c>
      <c r="D209" s="5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4283</v>
      </c>
      <c r="M209" s="3" t="s">
        <v>4282</v>
      </c>
      <c r="N209">
        <v>121.96</v>
      </c>
    </row>
    <row r="210" spans="1:14" x14ac:dyDescent="0.3">
      <c r="A210" s="3" t="s">
        <v>222</v>
      </c>
      <c r="B210" s="4">
        <v>45573</v>
      </c>
      <c r="C210" s="3" t="s">
        <v>1422</v>
      </c>
      <c r="D210" s="5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3">
      <c r="A211" s="3" t="s">
        <v>223</v>
      </c>
      <c r="B211" s="4">
        <v>45167</v>
      </c>
      <c r="C211" s="3" t="s">
        <v>1423</v>
      </c>
      <c r="D211" s="5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3">
      <c r="A212" s="3" t="s">
        <v>224</v>
      </c>
      <c r="B212" s="4">
        <v>45631</v>
      </c>
      <c r="C212" s="3" t="s">
        <v>1424</v>
      </c>
      <c r="D212" s="5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3">
      <c r="A213" s="3" t="s">
        <v>225</v>
      </c>
      <c r="B213" s="4">
        <v>45660</v>
      </c>
      <c r="C213" s="3" t="s">
        <v>1425</v>
      </c>
      <c r="D213" s="5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3">
      <c r="A214" s="3" t="s">
        <v>226</v>
      </c>
      <c r="B214" s="4">
        <v>45097</v>
      </c>
      <c r="C214" s="3" t="s">
        <v>1426</v>
      </c>
      <c r="D214" s="5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3">
      <c r="A215" s="3" t="s">
        <v>227</v>
      </c>
      <c r="B215" s="4">
        <v>45036</v>
      </c>
      <c r="C215" s="3" t="s">
        <v>1427</v>
      </c>
      <c r="D215" s="5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3">
      <c r="A216" s="3" t="s">
        <v>228</v>
      </c>
      <c r="B216" s="4">
        <v>45525</v>
      </c>
      <c r="C216" s="3" t="s">
        <v>1428</v>
      </c>
      <c r="D216" s="5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4283</v>
      </c>
      <c r="M216" s="3" t="s">
        <v>4281</v>
      </c>
      <c r="N216">
        <v>1222.8800000000001</v>
      </c>
    </row>
    <row r="217" spans="1:14" x14ac:dyDescent="0.3">
      <c r="A217" s="3" t="s">
        <v>229</v>
      </c>
      <c r="B217" s="4">
        <v>45148</v>
      </c>
      <c r="C217" s="3" t="s">
        <v>1429</v>
      </c>
      <c r="D217" s="5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3">
      <c r="A218" s="3" t="s">
        <v>230</v>
      </c>
      <c r="B218" s="4">
        <v>45762</v>
      </c>
      <c r="C218" s="3" t="s">
        <v>1430</v>
      </c>
      <c r="D218" s="5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3">
      <c r="A219" s="3" t="s">
        <v>231</v>
      </c>
      <c r="B219" s="4">
        <v>45432</v>
      </c>
      <c r="C219" s="3" t="s">
        <v>1431</v>
      </c>
      <c r="D219" s="5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4283</v>
      </c>
      <c r="M219" s="3" t="s">
        <v>4282</v>
      </c>
      <c r="N219">
        <v>1286.04</v>
      </c>
    </row>
    <row r="220" spans="1:14" x14ac:dyDescent="0.3">
      <c r="A220" s="3" t="s">
        <v>232</v>
      </c>
      <c r="B220" s="4">
        <v>45044</v>
      </c>
      <c r="C220" s="3" t="s">
        <v>1432</v>
      </c>
      <c r="D220" s="5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3">
      <c r="A221" s="3" t="s">
        <v>233</v>
      </c>
      <c r="B221" s="4">
        <v>45779</v>
      </c>
      <c r="C221" s="3" t="s">
        <v>1433</v>
      </c>
      <c r="D221" s="5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3">
      <c r="A222" s="3" t="s">
        <v>234</v>
      </c>
      <c r="B222" s="4">
        <v>45125</v>
      </c>
      <c r="C222" s="3" t="s">
        <v>1434</v>
      </c>
      <c r="D222" s="5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3">
      <c r="A223" s="3" t="s">
        <v>235</v>
      </c>
      <c r="B223" s="4">
        <v>45345</v>
      </c>
      <c r="C223" s="3" t="s">
        <v>1435</v>
      </c>
      <c r="D223" s="5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3">
      <c r="A224" s="3" t="s">
        <v>236</v>
      </c>
      <c r="B224" s="4">
        <v>45050</v>
      </c>
      <c r="C224" s="3" t="s">
        <v>1436</v>
      </c>
      <c r="D224" s="5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4283</v>
      </c>
      <c r="M224" s="3" t="s">
        <v>4278</v>
      </c>
      <c r="N224">
        <v>2773.44</v>
      </c>
    </row>
    <row r="225" spans="1:14" x14ac:dyDescent="0.3">
      <c r="A225" s="3" t="s">
        <v>237</v>
      </c>
      <c r="B225" s="4">
        <v>45546</v>
      </c>
      <c r="C225" s="3" t="s">
        <v>1437</v>
      </c>
      <c r="D225" s="5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3">
      <c r="A226" s="3" t="s">
        <v>238</v>
      </c>
      <c r="B226" s="4">
        <v>45192</v>
      </c>
      <c r="C226" s="3" t="s">
        <v>1438</v>
      </c>
      <c r="D226" s="5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3">
      <c r="A227" s="3" t="s">
        <v>239</v>
      </c>
      <c r="B227" s="4">
        <v>45364</v>
      </c>
      <c r="C227" s="3" t="s">
        <v>1439</v>
      </c>
      <c r="D227" s="5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821.87999999999988</v>
      </c>
    </row>
    <row r="228" spans="1:14" x14ac:dyDescent="0.3">
      <c r="A228" s="3" t="s">
        <v>240</v>
      </c>
      <c r="B228" s="4">
        <v>45835</v>
      </c>
      <c r="C228" s="3" t="s">
        <v>1440</v>
      </c>
      <c r="D228" s="5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4283</v>
      </c>
      <c r="M228" s="3" t="s">
        <v>4278</v>
      </c>
      <c r="N228">
        <v>1764.15</v>
      </c>
    </row>
    <row r="229" spans="1:14" x14ac:dyDescent="0.3">
      <c r="A229" s="3" t="s">
        <v>241</v>
      </c>
      <c r="B229" s="4">
        <v>45232</v>
      </c>
      <c r="C229" s="3" t="s">
        <v>1441</v>
      </c>
      <c r="D229" s="5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3">
      <c r="A230" s="3" t="s">
        <v>242</v>
      </c>
      <c r="B230" s="4">
        <v>45063</v>
      </c>
      <c r="C230" s="3" t="s">
        <v>1442</v>
      </c>
      <c r="D230" s="5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4283</v>
      </c>
      <c r="M230" s="3" t="s">
        <v>4278</v>
      </c>
      <c r="N230">
        <v>1543.68</v>
      </c>
    </row>
    <row r="231" spans="1:14" x14ac:dyDescent="0.3">
      <c r="A231" s="3" t="s">
        <v>243</v>
      </c>
      <c r="B231" s="4">
        <v>45744</v>
      </c>
      <c r="C231" s="3" t="s">
        <v>1443</v>
      </c>
      <c r="D231" s="5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3">
      <c r="A232" s="3" t="s">
        <v>244</v>
      </c>
      <c r="B232" s="4">
        <v>45276</v>
      </c>
      <c r="C232" s="3" t="s">
        <v>1444</v>
      </c>
      <c r="D232" s="5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3">
      <c r="A233" s="3" t="s">
        <v>245</v>
      </c>
      <c r="B233" s="4">
        <v>45235</v>
      </c>
      <c r="C233" s="3" t="s">
        <v>1445</v>
      </c>
      <c r="D233" s="5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3">
      <c r="A234" s="3" t="s">
        <v>246</v>
      </c>
      <c r="B234" s="4">
        <v>45065</v>
      </c>
      <c r="C234" s="3" t="s">
        <v>1446</v>
      </c>
      <c r="D234" s="5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3">
      <c r="A235" s="3" t="s">
        <v>247</v>
      </c>
      <c r="B235" s="4">
        <v>45528</v>
      </c>
      <c r="C235" s="3" t="s">
        <v>1447</v>
      </c>
      <c r="D235" s="5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3">
      <c r="A236" s="3" t="s">
        <v>248</v>
      </c>
      <c r="B236" s="4">
        <v>45622</v>
      </c>
      <c r="C236" s="3" t="s">
        <v>1448</v>
      </c>
      <c r="D236" s="5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3">
      <c r="A237" s="3" t="s">
        <v>249</v>
      </c>
      <c r="B237" s="4">
        <v>44977</v>
      </c>
      <c r="C237" s="3" t="s">
        <v>1449</v>
      </c>
      <c r="D237" s="5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3">
      <c r="A238" s="3" t="s">
        <v>250</v>
      </c>
      <c r="B238" s="4">
        <v>44927</v>
      </c>
      <c r="C238" s="3" t="s">
        <v>1450</v>
      </c>
      <c r="D238" s="5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3">
      <c r="A239" s="3" t="s">
        <v>251</v>
      </c>
      <c r="B239" s="4">
        <v>45365</v>
      </c>
      <c r="C239" s="3" t="s">
        <v>1451</v>
      </c>
      <c r="D239" s="5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3">
      <c r="A240" s="3" t="s">
        <v>252</v>
      </c>
      <c r="B240" s="4">
        <v>45639</v>
      </c>
      <c r="C240" s="3" t="s">
        <v>1452</v>
      </c>
      <c r="D240" s="5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3">
      <c r="A241" s="3" t="s">
        <v>253</v>
      </c>
      <c r="B241" s="4">
        <v>45637</v>
      </c>
      <c r="C241" s="3" t="s">
        <v>1453</v>
      </c>
      <c r="D241" s="5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3">
      <c r="A242" s="3" t="s">
        <v>254</v>
      </c>
      <c r="B242" s="4">
        <v>45119</v>
      </c>
      <c r="C242" s="3" t="s">
        <v>1454</v>
      </c>
      <c r="D242" s="5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3">
      <c r="A243" s="3" t="s">
        <v>255</v>
      </c>
      <c r="B243" s="4">
        <v>45062</v>
      </c>
      <c r="C243" s="3" t="s">
        <v>1455</v>
      </c>
      <c r="D243" s="5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3">
      <c r="A244" s="3" t="s">
        <v>256</v>
      </c>
      <c r="B244" s="4">
        <v>45055</v>
      </c>
      <c r="C244" s="3" t="s">
        <v>1456</v>
      </c>
      <c r="D244" s="5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3">
      <c r="A245" s="3" t="s">
        <v>257</v>
      </c>
      <c r="B245" s="4">
        <v>45786</v>
      </c>
      <c r="C245" s="3" t="s">
        <v>1457</v>
      </c>
      <c r="D245" s="5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3">
      <c r="A246" s="3" t="s">
        <v>258</v>
      </c>
      <c r="B246" s="4">
        <v>44973</v>
      </c>
      <c r="C246" s="3" t="s">
        <v>1458</v>
      </c>
      <c r="D246" s="5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3">
      <c r="A247" s="3" t="s">
        <v>259</v>
      </c>
      <c r="B247" s="4">
        <v>45767</v>
      </c>
      <c r="C247" s="3" t="s">
        <v>1459</v>
      </c>
      <c r="D247" s="5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4283</v>
      </c>
      <c r="M247" s="3" t="s">
        <v>4281</v>
      </c>
      <c r="N247">
        <v>223.3</v>
      </c>
    </row>
    <row r="248" spans="1:14" x14ac:dyDescent="0.3">
      <c r="A248" s="3" t="s">
        <v>260</v>
      </c>
      <c r="B248" s="4">
        <v>45534</v>
      </c>
      <c r="C248" s="3" t="s">
        <v>1460</v>
      </c>
      <c r="D248" s="5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3">
      <c r="A249" s="3" t="s">
        <v>261</v>
      </c>
      <c r="B249" s="4">
        <v>45127</v>
      </c>
      <c r="C249" s="3" t="s">
        <v>1461</v>
      </c>
      <c r="D249" s="5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4283</v>
      </c>
      <c r="M249" s="3" t="s">
        <v>4280</v>
      </c>
      <c r="N249">
        <v>441.8</v>
      </c>
    </row>
    <row r="250" spans="1:14" x14ac:dyDescent="0.3">
      <c r="A250" s="3" t="s">
        <v>262</v>
      </c>
      <c r="B250" s="4">
        <v>45109</v>
      </c>
      <c r="C250" s="3" t="s">
        <v>1462</v>
      </c>
      <c r="D250" s="5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3">
      <c r="A251" s="3" t="s">
        <v>263</v>
      </c>
      <c r="B251" s="4">
        <v>45329</v>
      </c>
      <c r="C251" s="3" t="s">
        <v>1463</v>
      </c>
      <c r="D251" s="5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3">
      <c r="A252" s="3" t="s">
        <v>264</v>
      </c>
      <c r="B252" s="4">
        <v>45021</v>
      </c>
      <c r="C252" s="3" t="s">
        <v>1464</v>
      </c>
      <c r="D252" s="5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3">
      <c r="A253" s="3" t="s">
        <v>265</v>
      </c>
      <c r="B253" s="4">
        <v>45792</v>
      </c>
      <c r="C253" s="3" t="s">
        <v>1465</v>
      </c>
      <c r="D253" s="5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4283</v>
      </c>
      <c r="M253" s="3" t="s">
        <v>4280</v>
      </c>
      <c r="N253">
        <v>58.76</v>
      </c>
    </row>
    <row r="254" spans="1:14" x14ac:dyDescent="0.3">
      <c r="A254" s="3" t="s">
        <v>266</v>
      </c>
      <c r="B254" s="4">
        <v>45555</v>
      </c>
      <c r="C254" s="3" t="s">
        <v>1466</v>
      </c>
      <c r="D254" s="5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3">
      <c r="A255" s="3" t="s">
        <v>267</v>
      </c>
      <c r="B255" s="4">
        <v>45374</v>
      </c>
      <c r="C255" s="3" t="s">
        <v>1467</v>
      </c>
      <c r="D255" s="5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3">
      <c r="A256" s="3" t="s">
        <v>268</v>
      </c>
      <c r="B256" s="4">
        <v>45286</v>
      </c>
      <c r="C256" s="3" t="s">
        <v>1468</v>
      </c>
      <c r="D256" s="5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4283</v>
      </c>
      <c r="M256" s="3" t="s">
        <v>4278</v>
      </c>
      <c r="N256">
        <v>789.56999999999994</v>
      </c>
    </row>
    <row r="257" spans="1:14" x14ac:dyDescent="0.3">
      <c r="A257" s="3" t="s">
        <v>269</v>
      </c>
      <c r="B257" s="4">
        <v>45425</v>
      </c>
      <c r="C257" s="3" t="s">
        <v>1469</v>
      </c>
      <c r="D257" s="5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3">
      <c r="A258" s="3" t="s">
        <v>270</v>
      </c>
      <c r="B258" s="4">
        <v>45838</v>
      </c>
      <c r="C258" s="3" t="s">
        <v>1470</v>
      </c>
      <c r="D258" s="5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3">
      <c r="A259" s="3" t="s">
        <v>271</v>
      </c>
      <c r="B259" s="4">
        <v>45405</v>
      </c>
      <c r="C259" s="3" t="s">
        <v>1471</v>
      </c>
      <c r="D259" s="5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3">
      <c r="A260" s="3" t="s">
        <v>272</v>
      </c>
      <c r="B260" s="4">
        <v>45348</v>
      </c>
      <c r="C260" s="3" t="s">
        <v>1472</v>
      </c>
      <c r="D260" s="5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3">
      <c r="A261" s="3" t="s">
        <v>273</v>
      </c>
      <c r="B261" s="4">
        <v>45088</v>
      </c>
      <c r="C261" s="3" t="s">
        <v>1473</v>
      </c>
      <c r="D261" s="5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3">
      <c r="A262" s="3" t="s">
        <v>274</v>
      </c>
      <c r="B262" s="4">
        <v>45063</v>
      </c>
      <c r="C262" s="3" t="s">
        <v>1474</v>
      </c>
      <c r="D262" s="5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4283</v>
      </c>
      <c r="M262" s="3" t="s">
        <v>4282</v>
      </c>
      <c r="N262">
        <v>815.58</v>
      </c>
    </row>
    <row r="263" spans="1:14" x14ac:dyDescent="0.3">
      <c r="A263" s="3" t="s">
        <v>275</v>
      </c>
      <c r="B263" s="4">
        <v>45805</v>
      </c>
      <c r="C263" s="3" t="s">
        <v>1475</v>
      </c>
      <c r="D263" s="5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3">
      <c r="A264" s="3" t="s">
        <v>276</v>
      </c>
      <c r="B264" s="4">
        <v>44936</v>
      </c>
      <c r="C264" s="3" t="s">
        <v>1476</v>
      </c>
      <c r="D264" s="5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3">
      <c r="A265" s="3" t="s">
        <v>277</v>
      </c>
      <c r="B265" s="4">
        <v>45010</v>
      </c>
      <c r="C265" s="3" t="s">
        <v>1477</v>
      </c>
      <c r="D265" s="5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3">
      <c r="A266" s="3" t="s">
        <v>278</v>
      </c>
      <c r="B266" s="4">
        <v>45507</v>
      </c>
      <c r="C266" s="3" t="s">
        <v>1478</v>
      </c>
      <c r="D266" s="5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3">
      <c r="A267" s="3" t="s">
        <v>279</v>
      </c>
      <c r="B267" s="4">
        <v>45282</v>
      </c>
      <c r="C267" s="3" t="s">
        <v>1479</v>
      </c>
      <c r="D267" s="5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3">
      <c r="A268" s="3" t="s">
        <v>280</v>
      </c>
      <c r="B268" s="4">
        <v>45451</v>
      </c>
      <c r="C268" s="3" t="s">
        <v>1480</v>
      </c>
      <c r="D268" s="5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3">
      <c r="A269" s="3" t="s">
        <v>281</v>
      </c>
      <c r="B269" s="4">
        <v>45764</v>
      </c>
      <c r="C269" s="3" t="s">
        <v>1481</v>
      </c>
      <c r="D269" s="5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4283</v>
      </c>
      <c r="M269" s="3" t="s">
        <v>4281</v>
      </c>
      <c r="N269">
        <v>2342.5500000000002</v>
      </c>
    </row>
    <row r="270" spans="1:14" x14ac:dyDescent="0.3">
      <c r="A270" s="3" t="s">
        <v>282</v>
      </c>
      <c r="B270" s="4">
        <v>45149</v>
      </c>
      <c r="C270" s="3" t="s">
        <v>1482</v>
      </c>
      <c r="D270" s="5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3">
      <c r="A271" s="3" t="s">
        <v>283</v>
      </c>
      <c r="B271" s="4">
        <v>45255</v>
      </c>
      <c r="C271" s="3" t="s">
        <v>1483</v>
      </c>
      <c r="D271" s="5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3">
      <c r="A272" s="3" t="s">
        <v>284</v>
      </c>
      <c r="B272" s="4">
        <v>45081</v>
      </c>
      <c r="C272" s="3" t="s">
        <v>1484</v>
      </c>
      <c r="D272" s="5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3">
      <c r="A273" s="3" t="s">
        <v>285</v>
      </c>
      <c r="B273" s="4">
        <v>45013</v>
      </c>
      <c r="C273" s="3" t="s">
        <v>1485</v>
      </c>
      <c r="D273" s="5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3">
      <c r="A274" s="3" t="s">
        <v>286</v>
      </c>
      <c r="B274" s="4">
        <v>45188</v>
      </c>
      <c r="C274" s="3" t="s">
        <v>1486</v>
      </c>
      <c r="D274" s="5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3">
      <c r="A275" s="3" t="s">
        <v>287</v>
      </c>
      <c r="B275" s="4">
        <v>45592</v>
      </c>
      <c r="C275" s="3" t="s">
        <v>1487</v>
      </c>
      <c r="D275" s="5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3">
      <c r="A276" s="3" t="s">
        <v>288</v>
      </c>
      <c r="B276" s="4">
        <v>44961</v>
      </c>
      <c r="C276" s="3" t="s">
        <v>1488</v>
      </c>
      <c r="D276" s="5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3">
      <c r="A277" s="3" t="s">
        <v>289</v>
      </c>
      <c r="B277" s="4">
        <v>45234</v>
      </c>
      <c r="C277" s="3" t="s">
        <v>1489</v>
      </c>
      <c r="D277" s="5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3">
      <c r="A278" s="3" t="s">
        <v>290</v>
      </c>
      <c r="B278" s="4">
        <v>45745</v>
      </c>
      <c r="C278" s="3" t="s">
        <v>1490</v>
      </c>
      <c r="D278" s="5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3">
      <c r="A279" s="3" t="s">
        <v>291</v>
      </c>
      <c r="B279" s="4">
        <v>45544</v>
      </c>
      <c r="C279" s="3" t="s">
        <v>1491</v>
      </c>
      <c r="D279" s="5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3">
      <c r="A280" s="3" t="s">
        <v>292</v>
      </c>
      <c r="B280" s="4">
        <v>45614</v>
      </c>
      <c r="C280" s="3" t="s">
        <v>1492</v>
      </c>
      <c r="D280" s="5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3">
      <c r="A281" s="3" t="s">
        <v>293</v>
      </c>
      <c r="B281" s="4">
        <v>45219</v>
      </c>
      <c r="C281" s="3" t="s">
        <v>1493</v>
      </c>
      <c r="D281" s="5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3">
      <c r="A282" s="3" t="s">
        <v>294</v>
      </c>
      <c r="B282" s="4">
        <v>45012</v>
      </c>
      <c r="C282" s="3" t="s">
        <v>1494</v>
      </c>
      <c r="D282" s="5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3">
      <c r="A283" s="3" t="s">
        <v>295</v>
      </c>
      <c r="B283" s="4">
        <v>45134</v>
      </c>
      <c r="C283" s="3" t="s">
        <v>1495</v>
      </c>
      <c r="D283" s="5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4283</v>
      </c>
      <c r="M283" s="3" t="s">
        <v>4279</v>
      </c>
      <c r="N283">
        <v>2619.16</v>
      </c>
    </row>
    <row r="284" spans="1:14" x14ac:dyDescent="0.3">
      <c r="A284" s="3" t="s">
        <v>296</v>
      </c>
      <c r="B284" s="4">
        <v>45769</v>
      </c>
      <c r="C284" s="3" t="s">
        <v>1496</v>
      </c>
      <c r="D284" s="5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3">
      <c r="A285" s="3" t="s">
        <v>297</v>
      </c>
      <c r="B285" s="4">
        <v>45716</v>
      </c>
      <c r="C285" s="3" t="s">
        <v>1497</v>
      </c>
      <c r="D285" s="5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4283</v>
      </c>
      <c r="M285" s="3" t="s">
        <v>4282</v>
      </c>
      <c r="N285">
        <v>2161.3200000000002</v>
      </c>
    </row>
    <row r="286" spans="1:14" x14ac:dyDescent="0.3">
      <c r="A286" s="3" t="s">
        <v>298</v>
      </c>
      <c r="B286" s="4">
        <v>44973</v>
      </c>
      <c r="C286" s="3" t="s">
        <v>1498</v>
      </c>
      <c r="D286" s="5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3">
      <c r="A287" s="3" t="s">
        <v>299</v>
      </c>
      <c r="B287" s="4">
        <v>45818</v>
      </c>
      <c r="C287" s="3" t="s">
        <v>1499</v>
      </c>
      <c r="D287" s="5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4283</v>
      </c>
      <c r="M287" s="3" t="s">
        <v>4282</v>
      </c>
      <c r="N287">
        <v>338.31</v>
      </c>
    </row>
    <row r="288" spans="1:14" x14ac:dyDescent="0.3">
      <c r="A288" s="3" t="s">
        <v>300</v>
      </c>
      <c r="B288" s="4">
        <v>45754</v>
      </c>
      <c r="C288" s="3" t="s">
        <v>1500</v>
      </c>
      <c r="D288" s="5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3">
      <c r="A289" s="3" t="s">
        <v>301</v>
      </c>
      <c r="B289" s="4">
        <v>45254</v>
      </c>
      <c r="C289" s="3" t="s">
        <v>1501</v>
      </c>
      <c r="D289" s="5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4283</v>
      </c>
      <c r="M289" s="3" t="s">
        <v>4281</v>
      </c>
      <c r="N289">
        <v>2620.7199999999998</v>
      </c>
    </row>
    <row r="290" spans="1:14" x14ac:dyDescent="0.3">
      <c r="A290" s="3" t="s">
        <v>302</v>
      </c>
      <c r="B290" s="4">
        <v>44997</v>
      </c>
      <c r="C290" s="3" t="s">
        <v>1502</v>
      </c>
      <c r="D290" s="5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3">
      <c r="A291" s="3" t="s">
        <v>303</v>
      </c>
      <c r="B291" s="4">
        <v>45133</v>
      </c>
      <c r="C291" s="3" t="s">
        <v>1503</v>
      </c>
      <c r="D291" s="5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3">
      <c r="A292" s="3" t="s">
        <v>304</v>
      </c>
      <c r="B292" s="4">
        <v>45051</v>
      </c>
      <c r="C292" s="3" t="s">
        <v>1504</v>
      </c>
      <c r="D292" s="5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3">
      <c r="A293" s="3" t="s">
        <v>305</v>
      </c>
      <c r="B293" s="4">
        <v>45424</v>
      </c>
      <c r="C293" s="3" t="s">
        <v>1505</v>
      </c>
      <c r="D293" s="5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3">
      <c r="A294" s="3" t="s">
        <v>306</v>
      </c>
      <c r="B294" s="4">
        <v>45672</v>
      </c>
      <c r="C294" s="3" t="s">
        <v>1506</v>
      </c>
      <c r="D294" s="5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4283</v>
      </c>
      <c r="M294" s="3" t="s">
        <v>4281</v>
      </c>
      <c r="N294">
        <v>65.95</v>
      </c>
    </row>
    <row r="295" spans="1:14" x14ac:dyDescent="0.3">
      <c r="A295" s="3" t="s">
        <v>307</v>
      </c>
      <c r="B295" s="4">
        <v>44973</v>
      </c>
      <c r="C295" s="3" t="s">
        <v>1507</v>
      </c>
      <c r="D295" s="5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4283</v>
      </c>
      <c r="M295" s="3" t="s">
        <v>4278</v>
      </c>
      <c r="N295">
        <v>1852.16</v>
      </c>
    </row>
    <row r="296" spans="1:14" x14ac:dyDescent="0.3">
      <c r="A296" s="3" t="s">
        <v>308</v>
      </c>
      <c r="B296" s="4">
        <v>45748</v>
      </c>
      <c r="C296" s="3" t="s">
        <v>1508</v>
      </c>
      <c r="D296" s="5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3">
      <c r="A297" s="3" t="s">
        <v>309</v>
      </c>
      <c r="B297" s="4">
        <v>44951</v>
      </c>
      <c r="C297" s="3" t="s">
        <v>1509</v>
      </c>
      <c r="D297" s="5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3">
      <c r="A298" s="3" t="s">
        <v>310</v>
      </c>
      <c r="B298" s="4">
        <v>45462</v>
      </c>
      <c r="C298" s="3" t="s">
        <v>1510</v>
      </c>
      <c r="D298" s="5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3">
      <c r="A299" s="3" t="s">
        <v>311</v>
      </c>
      <c r="B299" s="4">
        <v>44979</v>
      </c>
      <c r="C299" s="3" t="s">
        <v>1511</v>
      </c>
      <c r="D299" s="5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3">
      <c r="A300" s="3" t="s">
        <v>312</v>
      </c>
      <c r="B300" s="4">
        <v>45279</v>
      </c>
      <c r="C300" s="3" t="s">
        <v>1512</v>
      </c>
      <c r="D300" s="5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4283</v>
      </c>
      <c r="M300" s="3" t="s">
        <v>4280</v>
      </c>
      <c r="N300">
        <v>1204.68</v>
      </c>
    </row>
    <row r="301" spans="1:14" x14ac:dyDescent="0.3">
      <c r="A301" s="3" t="s">
        <v>313</v>
      </c>
      <c r="B301" s="4">
        <v>45311</v>
      </c>
      <c r="C301" s="3" t="s">
        <v>1513</v>
      </c>
      <c r="D301" s="5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3">
      <c r="A302" s="3" t="s">
        <v>314</v>
      </c>
      <c r="B302" s="4">
        <v>45537</v>
      </c>
      <c r="C302" s="3" t="s">
        <v>1514</v>
      </c>
      <c r="D302" s="5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3">
      <c r="A303" s="3" t="s">
        <v>315</v>
      </c>
      <c r="B303" s="4">
        <v>45057</v>
      </c>
      <c r="C303" s="3" t="s">
        <v>1515</v>
      </c>
      <c r="D303" s="5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3">
      <c r="A304" s="3" t="s">
        <v>316</v>
      </c>
      <c r="B304" s="4">
        <v>45062</v>
      </c>
      <c r="C304" s="3" t="s">
        <v>1516</v>
      </c>
      <c r="D304" s="5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3">
      <c r="A305" s="3" t="s">
        <v>317</v>
      </c>
      <c r="B305" s="4">
        <v>45633</v>
      </c>
      <c r="C305" s="3" t="s">
        <v>1517</v>
      </c>
      <c r="D305" s="5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4283</v>
      </c>
      <c r="M305" s="3" t="s">
        <v>4282</v>
      </c>
      <c r="N305">
        <v>30.54</v>
      </c>
    </row>
    <row r="306" spans="1:14" x14ac:dyDescent="0.3">
      <c r="A306" s="3" t="s">
        <v>318</v>
      </c>
      <c r="B306" s="4">
        <v>45583</v>
      </c>
      <c r="C306" s="3" t="s">
        <v>1518</v>
      </c>
      <c r="D306" s="5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3">
      <c r="A307" s="3" t="s">
        <v>319</v>
      </c>
      <c r="B307" s="4">
        <v>45255</v>
      </c>
      <c r="C307" s="3" t="s">
        <v>1519</v>
      </c>
      <c r="D307" s="5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3">
      <c r="A308" s="3" t="s">
        <v>320</v>
      </c>
      <c r="B308" s="4">
        <v>45450</v>
      </c>
      <c r="C308" s="3" t="s">
        <v>1520</v>
      </c>
      <c r="D308" s="5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3">
      <c r="A309" s="3" t="s">
        <v>321</v>
      </c>
      <c r="B309" s="4">
        <v>45108</v>
      </c>
      <c r="C309" s="3" t="s">
        <v>1521</v>
      </c>
      <c r="D309" s="5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4283</v>
      </c>
      <c r="M309" s="3" t="s">
        <v>4280</v>
      </c>
      <c r="N309">
        <v>1672.23</v>
      </c>
    </row>
    <row r="310" spans="1:14" x14ac:dyDescent="0.3">
      <c r="A310" s="3" t="s">
        <v>322</v>
      </c>
      <c r="B310" s="4">
        <v>45271</v>
      </c>
      <c r="C310" s="3" t="s">
        <v>1522</v>
      </c>
      <c r="D310" s="5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3">
      <c r="A311" s="3" t="s">
        <v>323</v>
      </c>
      <c r="B311" s="4">
        <v>45202</v>
      </c>
      <c r="C311" s="3" t="s">
        <v>1523</v>
      </c>
      <c r="D311" s="5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3">
      <c r="A312" s="3" t="s">
        <v>324</v>
      </c>
      <c r="B312" s="4">
        <v>45346</v>
      </c>
      <c r="C312" s="3" t="s">
        <v>1524</v>
      </c>
      <c r="D312" s="5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4283</v>
      </c>
      <c r="M312" s="3" t="s">
        <v>4279</v>
      </c>
      <c r="N312">
        <v>397.43999999999988</v>
      </c>
    </row>
    <row r="313" spans="1:14" x14ac:dyDescent="0.3">
      <c r="A313" s="3" t="s">
        <v>325</v>
      </c>
      <c r="B313" s="4">
        <v>45794</v>
      </c>
      <c r="C313" s="3" t="s">
        <v>1525</v>
      </c>
      <c r="D313" s="5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4283</v>
      </c>
      <c r="M313" s="3" t="s">
        <v>4278</v>
      </c>
      <c r="N313">
        <v>2446.85</v>
      </c>
    </row>
    <row r="314" spans="1:14" x14ac:dyDescent="0.3">
      <c r="A314" s="3" t="s">
        <v>326</v>
      </c>
      <c r="B314" s="4">
        <v>45801</v>
      </c>
      <c r="C314" s="3" t="s">
        <v>1526</v>
      </c>
      <c r="D314" s="5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3">
      <c r="A315" s="3" t="s">
        <v>327</v>
      </c>
      <c r="B315" s="4">
        <v>45116</v>
      </c>
      <c r="C315" s="3" t="s">
        <v>1527</v>
      </c>
      <c r="D315" s="5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3">
      <c r="A316" s="3" t="s">
        <v>328</v>
      </c>
      <c r="B316" s="4">
        <v>45203</v>
      </c>
      <c r="C316" s="3" t="s">
        <v>1528</v>
      </c>
      <c r="D316" s="5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3">
      <c r="A317" s="3" t="s">
        <v>329</v>
      </c>
      <c r="B317" s="4">
        <v>45789</v>
      </c>
      <c r="C317" s="3" t="s">
        <v>1529</v>
      </c>
      <c r="D317" s="5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3">
      <c r="A318" s="3" t="s">
        <v>330</v>
      </c>
      <c r="B318" s="4">
        <v>45201</v>
      </c>
      <c r="C318" s="3" t="s">
        <v>1530</v>
      </c>
      <c r="D318" s="5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3">
      <c r="A319" s="3" t="s">
        <v>331</v>
      </c>
      <c r="B319" s="4">
        <v>45026</v>
      </c>
      <c r="C319" s="3" t="s">
        <v>1531</v>
      </c>
      <c r="D319" s="5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4283</v>
      </c>
      <c r="M319" s="3" t="s">
        <v>4278</v>
      </c>
      <c r="N319">
        <v>279.89999999999998</v>
      </c>
    </row>
    <row r="320" spans="1:14" x14ac:dyDescent="0.3">
      <c r="A320" s="3" t="s">
        <v>332</v>
      </c>
      <c r="B320" s="4">
        <v>45500</v>
      </c>
      <c r="C320" s="3" t="s">
        <v>1532</v>
      </c>
      <c r="D320" s="5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3">
      <c r="A321" s="3" t="s">
        <v>333</v>
      </c>
      <c r="B321" s="4">
        <v>45262</v>
      </c>
      <c r="C321" s="3" t="s">
        <v>1533</v>
      </c>
      <c r="D321" s="5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4283</v>
      </c>
      <c r="M321" s="3" t="s">
        <v>4278</v>
      </c>
      <c r="N321">
        <v>1126.1199999999999</v>
      </c>
    </row>
    <row r="322" spans="1:14" x14ac:dyDescent="0.3">
      <c r="A322" s="3" t="s">
        <v>334</v>
      </c>
      <c r="B322" s="4">
        <v>45645</v>
      </c>
      <c r="C322" s="3" t="s">
        <v>1534</v>
      </c>
      <c r="D322" s="5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3">
      <c r="A323" s="3" t="s">
        <v>335</v>
      </c>
      <c r="B323" s="4">
        <v>45147</v>
      </c>
      <c r="C323" s="3" t="s">
        <v>1535</v>
      </c>
      <c r="D323" s="5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3">
      <c r="A324" s="3" t="s">
        <v>336</v>
      </c>
      <c r="B324" s="4">
        <v>45457</v>
      </c>
      <c r="C324" s="3" t="s">
        <v>1536</v>
      </c>
      <c r="D324" s="5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3">
      <c r="A325" s="3" t="s">
        <v>337</v>
      </c>
      <c r="B325" s="4">
        <v>45683</v>
      </c>
      <c r="C325" s="3" t="s">
        <v>1537</v>
      </c>
      <c r="D325" s="5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3">
      <c r="A326" s="3" t="s">
        <v>338</v>
      </c>
      <c r="B326" s="4">
        <v>45456</v>
      </c>
      <c r="C326" s="3" t="s">
        <v>1538</v>
      </c>
      <c r="D326" s="5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4283</v>
      </c>
      <c r="M326" s="3" t="s">
        <v>4279</v>
      </c>
      <c r="N326">
        <v>212.79</v>
      </c>
    </row>
    <row r="327" spans="1:14" x14ac:dyDescent="0.3">
      <c r="A327" s="3" t="s">
        <v>339</v>
      </c>
      <c r="B327" s="4">
        <v>45106</v>
      </c>
      <c r="C327" s="3" t="s">
        <v>1539</v>
      </c>
      <c r="D327" s="5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4283</v>
      </c>
      <c r="M327" s="3" t="s">
        <v>4279</v>
      </c>
      <c r="N327">
        <v>1084.17</v>
      </c>
    </row>
    <row r="328" spans="1:14" x14ac:dyDescent="0.3">
      <c r="A328" s="3" t="s">
        <v>340</v>
      </c>
      <c r="B328" s="4">
        <v>45474</v>
      </c>
      <c r="C328" s="3" t="s">
        <v>1540</v>
      </c>
      <c r="D328" s="5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3">
      <c r="A329" s="3" t="s">
        <v>341</v>
      </c>
      <c r="B329" s="4">
        <v>45132</v>
      </c>
      <c r="C329" s="3" t="s">
        <v>1541</v>
      </c>
      <c r="D329" s="5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3">
      <c r="A330" s="3" t="s">
        <v>342</v>
      </c>
      <c r="B330" s="4">
        <v>44985</v>
      </c>
      <c r="C330" s="3" t="s">
        <v>1542</v>
      </c>
      <c r="D330" s="5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3">
      <c r="A331" s="3" t="s">
        <v>343</v>
      </c>
      <c r="B331" s="4">
        <v>45651</v>
      </c>
      <c r="C331" s="3" t="s">
        <v>1543</v>
      </c>
      <c r="D331" s="5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4283</v>
      </c>
      <c r="M331" s="3" t="s">
        <v>4282</v>
      </c>
      <c r="N331">
        <v>1132.6400000000001</v>
      </c>
    </row>
    <row r="332" spans="1:14" x14ac:dyDescent="0.3">
      <c r="A332" s="3" t="s">
        <v>344</v>
      </c>
      <c r="B332" s="4">
        <v>45445</v>
      </c>
      <c r="C332" s="3" t="s">
        <v>1544</v>
      </c>
      <c r="D332" s="5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3">
      <c r="A333" s="3" t="s">
        <v>345</v>
      </c>
      <c r="B333" s="4">
        <v>45031</v>
      </c>
      <c r="C333" s="3" t="s">
        <v>1545</v>
      </c>
      <c r="D333" s="5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3">
      <c r="A334" s="3" t="s">
        <v>346</v>
      </c>
      <c r="B334" s="4">
        <v>45476</v>
      </c>
      <c r="C334" s="3" t="s">
        <v>1546</v>
      </c>
      <c r="D334" s="5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3">
      <c r="A335" s="3" t="s">
        <v>347</v>
      </c>
      <c r="B335" s="4">
        <v>45398</v>
      </c>
      <c r="C335" s="3" t="s">
        <v>1547</v>
      </c>
      <c r="D335" s="5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3">
      <c r="A336" s="3" t="s">
        <v>348</v>
      </c>
      <c r="B336" s="4">
        <v>45377</v>
      </c>
      <c r="C336" s="3" t="s">
        <v>1548</v>
      </c>
      <c r="D336" s="5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3">
      <c r="A337" s="3" t="s">
        <v>349</v>
      </c>
      <c r="B337" s="4">
        <v>45719</v>
      </c>
      <c r="C337" s="3" t="s">
        <v>1549</v>
      </c>
      <c r="D337" s="5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4283</v>
      </c>
      <c r="M337" s="3" t="s">
        <v>4280</v>
      </c>
      <c r="N337">
        <v>617.58000000000004</v>
      </c>
    </row>
    <row r="338" spans="1:14" x14ac:dyDescent="0.3">
      <c r="A338" s="3" t="s">
        <v>350</v>
      </c>
      <c r="B338" s="4">
        <v>45289</v>
      </c>
      <c r="C338" s="3" t="s">
        <v>1550</v>
      </c>
      <c r="D338" s="5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3">
      <c r="A339" s="3" t="s">
        <v>351</v>
      </c>
      <c r="B339" s="4">
        <v>45075</v>
      </c>
      <c r="C339" s="3" t="s">
        <v>1551</v>
      </c>
      <c r="D339" s="5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3">
      <c r="A340" s="3" t="s">
        <v>352</v>
      </c>
      <c r="B340" s="4">
        <v>45238</v>
      </c>
      <c r="C340" s="3" t="s">
        <v>1552</v>
      </c>
      <c r="D340" s="5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4283</v>
      </c>
      <c r="M340" s="3" t="s">
        <v>4279</v>
      </c>
      <c r="N340">
        <v>1527.45</v>
      </c>
    </row>
    <row r="341" spans="1:14" x14ac:dyDescent="0.3">
      <c r="A341" s="3" t="s">
        <v>353</v>
      </c>
      <c r="B341" s="4">
        <v>45392</v>
      </c>
      <c r="C341" s="3" t="s">
        <v>1553</v>
      </c>
      <c r="D341" s="5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3">
      <c r="A342" s="3" t="s">
        <v>354</v>
      </c>
      <c r="B342" s="4">
        <v>45039</v>
      </c>
      <c r="C342" s="3" t="s">
        <v>1554</v>
      </c>
      <c r="D342" s="5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4283</v>
      </c>
      <c r="M342" s="3" t="s">
        <v>4280</v>
      </c>
      <c r="N342">
        <v>2606.25</v>
      </c>
    </row>
    <row r="343" spans="1:14" x14ac:dyDescent="0.3">
      <c r="A343" s="3" t="s">
        <v>355</v>
      </c>
      <c r="B343" s="4">
        <v>45558</v>
      </c>
      <c r="C343" s="3" t="s">
        <v>1555</v>
      </c>
      <c r="D343" s="5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3">
      <c r="A344" s="3" t="s">
        <v>356</v>
      </c>
      <c r="B344" s="4">
        <v>45832</v>
      </c>
      <c r="C344" s="3" t="s">
        <v>1556</v>
      </c>
      <c r="D344" s="5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4283</v>
      </c>
      <c r="M344" s="3" t="s">
        <v>4279</v>
      </c>
      <c r="N344">
        <v>2332.1</v>
      </c>
    </row>
    <row r="345" spans="1:14" x14ac:dyDescent="0.3">
      <c r="A345" s="3" t="s">
        <v>357</v>
      </c>
      <c r="B345" s="4">
        <v>44983</v>
      </c>
      <c r="C345" s="3" t="s">
        <v>1557</v>
      </c>
      <c r="D345" s="5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3">
      <c r="A346" s="3" t="s">
        <v>358</v>
      </c>
      <c r="B346" s="4">
        <v>45722</v>
      </c>
      <c r="C346" s="3" t="s">
        <v>1558</v>
      </c>
      <c r="D346" s="5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3">
      <c r="A347" s="3" t="s">
        <v>359</v>
      </c>
      <c r="B347" s="4">
        <v>45267</v>
      </c>
      <c r="C347" s="3" t="s">
        <v>1559</v>
      </c>
      <c r="D347" s="5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3">
      <c r="A348" s="3" t="s">
        <v>360</v>
      </c>
      <c r="B348" s="4">
        <v>45632</v>
      </c>
      <c r="C348" s="3" t="s">
        <v>1560</v>
      </c>
      <c r="D348" s="5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4283</v>
      </c>
      <c r="M348" s="3" t="s">
        <v>4279</v>
      </c>
      <c r="N348">
        <v>655.09</v>
      </c>
    </row>
    <row r="349" spans="1:14" x14ac:dyDescent="0.3">
      <c r="A349" s="3" t="s">
        <v>361</v>
      </c>
      <c r="B349" s="4">
        <v>45325</v>
      </c>
      <c r="C349" s="3" t="s">
        <v>1561</v>
      </c>
      <c r="D349" s="5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3">
      <c r="A350" s="3" t="s">
        <v>362</v>
      </c>
      <c r="B350" s="4">
        <v>45364</v>
      </c>
      <c r="C350" s="3" t="s">
        <v>1562</v>
      </c>
      <c r="D350" s="5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3">
      <c r="A351" s="3" t="s">
        <v>363</v>
      </c>
      <c r="B351" s="4">
        <v>45260</v>
      </c>
      <c r="C351" s="3" t="s">
        <v>1563</v>
      </c>
      <c r="D351" s="5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3">
      <c r="A352" s="3" t="s">
        <v>364</v>
      </c>
      <c r="B352" s="4">
        <v>45080</v>
      </c>
      <c r="C352" s="3" t="s">
        <v>1564</v>
      </c>
      <c r="D352" s="5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4283</v>
      </c>
      <c r="M352" s="3" t="s">
        <v>4278</v>
      </c>
      <c r="N352">
        <v>108.82</v>
      </c>
    </row>
    <row r="353" spans="1:14" x14ac:dyDescent="0.3">
      <c r="A353" s="3" t="s">
        <v>365</v>
      </c>
      <c r="B353" s="4">
        <v>45703</v>
      </c>
      <c r="C353" s="3" t="s">
        <v>1565</v>
      </c>
      <c r="D353" s="5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4283</v>
      </c>
      <c r="M353" s="3" t="s">
        <v>4278</v>
      </c>
      <c r="N353">
        <v>64.66</v>
      </c>
    </row>
    <row r="354" spans="1:14" x14ac:dyDescent="0.3">
      <c r="A354" s="3" t="s">
        <v>366</v>
      </c>
      <c r="B354" s="4">
        <v>45169</v>
      </c>
      <c r="C354" s="3" t="s">
        <v>1566</v>
      </c>
      <c r="D354" s="5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869.80000000000007</v>
      </c>
    </row>
    <row r="355" spans="1:14" x14ac:dyDescent="0.3">
      <c r="A355" s="3" t="s">
        <v>367</v>
      </c>
      <c r="B355" s="4">
        <v>45744</v>
      </c>
      <c r="C355" s="3" t="s">
        <v>1567</v>
      </c>
      <c r="D355" s="5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3">
      <c r="A356" s="3" t="s">
        <v>368</v>
      </c>
      <c r="B356" s="4">
        <v>45118</v>
      </c>
      <c r="C356" s="3" t="s">
        <v>1568</v>
      </c>
      <c r="D356" s="5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4283</v>
      </c>
      <c r="M356" s="3" t="s">
        <v>4278</v>
      </c>
      <c r="N356">
        <v>693.41</v>
      </c>
    </row>
    <row r="357" spans="1:14" x14ac:dyDescent="0.3">
      <c r="A357" s="3" t="s">
        <v>369</v>
      </c>
      <c r="B357" s="4">
        <v>45811</v>
      </c>
      <c r="C357" s="3" t="s">
        <v>1569</v>
      </c>
      <c r="D357" s="5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3">
      <c r="A358" s="3" t="s">
        <v>370</v>
      </c>
      <c r="B358" s="4">
        <v>45052</v>
      </c>
      <c r="C358" s="3" t="s">
        <v>1570</v>
      </c>
      <c r="D358" s="5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3">
      <c r="A359" s="3" t="s">
        <v>371</v>
      </c>
      <c r="B359" s="4">
        <v>45115</v>
      </c>
      <c r="C359" s="3" t="s">
        <v>1571</v>
      </c>
      <c r="D359" s="5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3">
      <c r="A360" s="3" t="s">
        <v>372</v>
      </c>
      <c r="B360" s="4">
        <v>45389</v>
      </c>
      <c r="C360" s="3" t="s">
        <v>1572</v>
      </c>
      <c r="D360" s="5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3">
      <c r="A361" s="3" t="s">
        <v>373</v>
      </c>
      <c r="B361" s="4">
        <v>45086</v>
      </c>
      <c r="C361" s="3" t="s">
        <v>1573</v>
      </c>
      <c r="D361" s="5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3">
      <c r="A362" s="3" t="s">
        <v>374</v>
      </c>
      <c r="B362" s="4">
        <v>45449</v>
      </c>
      <c r="C362" s="3" t="s">
        <v>1574</v>
      </c>
      <c r="D362" s="5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4283</v>
      </c>
      <c r="M362" s="3" t="s">
        <v>4278</v>
      </c>
      <c r="N362">
        <v>2358.2800000000002</v>
      </c>
    </row>
    <row r="363" spans="1:14" x14ac:dyDescent="0.3">
      <c r="A363" s="3" t="s">
        <v>375</v>
      </c>
      <c r="B363" s="4">
        <v>45472</v>
      </c>
      <c r="C363" s="3" t="s">
        <v>1575</v>
      </c>
      <c r="D363" s="5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3">
      <c r="A364" s="3" t="s">
        <v>376</v>
      </c>
      <c r="B364" s="4">
        <v>45104</v>
      </c>
      <c r="C364" s="3" t="s">
        <v>1576</v>
      </c>
      <c r="D364" s="5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3">
      <c r="A365" s="3" t="s">
        <v>377</v>
      </c>
      <c r="B365" s="4">
        <v>45436</v>
      </c>
      <c r="C365" s="3" t="s">
        <v>1577</v>
      </c>
      <c r="D365" s="5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3">
      <c r="A366" s="3" t="s">
        <v>378</v>
      </c>
      <c r="B366" s="4">
        <v>45254</v>
      </c>
      <c r="C366" s="3" t="s">
        <v>1578</v>
      </c>
      <c r="D366" s="5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3">
      <c r="A367" s="3" t="s">
        <v>379</v>
      </c>
      <c r="B367" s="4">
        <v>45702</v>
      </c>
      <c r="C367" s="3" t="s">
        <v>1579</v>
      </c>
      <c r="D367" s="5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3">
      <c r="A368" s="3" t="s">
        <v>380</v>
      </c>
      <c r="B368" s="4">
        <v>44967</v>
      </c>
      <c r="C368" s="3" t="s">
        <v>1580</v>
      </c>
      <c r="D368" s="5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4283</v>
      </c>
      <c r="M368" s="3" t="s">
        <v>4279</v>
      </c>
      <c r="N368">
        <v>1806.72</v>
      </c>
    </row>
    <row r="369" spans="1:14" x14ac:dyDescent="0.3">
      <c r="A369" s="3" t="s">
        <v>381</v>
      </c>
      <c r="B369" s="4">
        <v>45407</v>
      </c>
      <c r="C369" s="3" t="s">
        <v>1581</v>
      </c>
      <c r="D369" s="5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3">
      <c r="A370" s="3" t="s">
        <v>382</v>
      </c>
      <c r="B370" s="4">
        <v>45047</v>
      </c>
      <c r="C370" s="3" t="s">
        <v>1582</v>
      </c>
      <c r="D370" s="5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4283</v>
      </c>
      <c r="M370" s="3" t="s">
        <v>4282</v>
      </c>
      <c r="N370">
        <v>813.06</v>
      </c>
    </row>
    <row r="371" spans="1:14" x14ac:dyDescent="0.3">
      <c r="A371" s="3" t="s">
        <v>383</v>
      </c>
      <c r="B371" s="4">
        <v>45648</v>
      </c>
      <c r="C371" s="3" t="s">
        <v>1583</v>
      </c>
      <c r="D371" s="5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3">
      <c r="A372" s="3" t="s">
        <v>384</v>
      </c>
      <c r="B372" s="4">
        <v>45780</v>
      </c>
      <c r="C372" s="3" t="s">
        <v>1584</v>
      </c>
      <c r="D372" s="5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3">
      <c r="A373" s="3" t="s">
        <v>385</v>
      </c>
      <c r="B373" s="4">
        <v>44931</v>
      </c>
      <c r="C373" s="3" t="s">
        <v>1585</v>
      </c>
      <c r="D373" s="5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3">
      <c r="A374" s="3" t="s">
        <v>386</v>
      </c>
      <c r="B374" s="4">
        <v>45702</v>
      </c>
      <c r="C374" s="3" t="s">
        <v>1586</v>
      </c>
      <c r="D374" s="5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4283</v>
      </c>
      <c r="M374" s="3" t="s">
        <v>4279</v>
      </c>
      <c r="N374">
        <v>1450.59</v>
      </c>
    </row>
    <row r="375" spans="1:14" x14ac:dyDescent="0.3">
      <c r="A375" s="3" t="s">
        <v>387</v>
      </c>
      <c r="B375" s="4">
        <v>44928</v>
      </c>
      <c r="C375" s="3" t="s">
        <v>1587</v>
      </c>
      <c r="D375" s="5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3">
      <c r="A376" s="3" t="s">
        <v>388</v>
      </c>
      <c r="B376" s="4">
        <v>45551</v>
      </c>
      <c r="C376" s="3" t="s">
        <v>1588</v>
      </c>
      <c r="D376" s="5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3">
      <c r="A377" s="3" t="s">
        <v>389</v>
      </c>
      <c r="B377" s="4">
        <v>45673</v>
      </c>
      <c r="C377" s="3" t="s">
        <v>1589</v>
      </c>
      <c r="D377" s="5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3">
      <c r="A378" s="3" t="s">
        <v>390</v>
      </c>
      <c r="B378" s="4">
        <v>45162</v>
      </c>
      <c r="C378" s="3" t="s">
        <v>1590</v>
      </c>
      <c r="D378" s="5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3">
      <c r="A379" s="3" t="s">
        <v>391</v>
      </c>
      <c r="B379" s="4">
        <v>45495</v>
      </c>
      <c r="C379" s="3" t="s">
        <v>1591</v>
      </c>
      <c r="D379" s="5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3">
      <c r="A380" s="3" t="s">
        <v>392</v>
      </c>
      <c r="B380" s="4">
        <v>45323</v>
      </c>
      <c r="C380" s="3" t="s">
        <v>1592</v>
      </c>
      <c r="D380" s="5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3">
      <c r="A381" s="3" t="s">
        <v>393</v>
      </c>
      <c r="B381" s="4">
        <v>45556</v>
      </c>
      <c r="C381" s="3" t="s">
        <v>1593</v>
      </c>
      <c r="D381" s="5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4283</v>
      </c>
      <c r="M381" s="3" t="s">
        <v>4282</v>
      </c>
      <c r="N381">
        <v>893.01</v>
      </c>
    </row>
    <row r="382" spans="1:14" x14ac:dyDescent="0.3">
      <c r="A382" s="3" t="s">
        <v>394</v>
      </c>
      <c r="B382" s="4">
        <v>45402</v>
      </c>
      <c r="C382" s="3" t="s">
        <v>1594</v>
      </c>
      <c r="D382" s="5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3">
      <c r="A383" s="3" t="s">
        <v>395</v>
      </c>
      <c r="B383" s="4">
        <v>45084</v>
      </c>
      <c r="C383" s="3" t="s">
        <v>1595</v>
      </c>
      <c r="D383" s="5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3">
      <c r="A384" s="3" t="s">
        <v>396</v>
      </c>
      <c r="B384" s="4">
        <v>45687</v>
      </c>
      <c r="C384" s="3" t="s">
        <v>1596</v>
      </c>
      <c r="D384" s="5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3">
      <c r="A385" s="3" t="s">
        <v>397</v>
      </c>
      <c r="B385" s="4">
        <v>44946</v>
      </c>
      <c r="C385" s="3" t="s">
        <v>1597</v>
      </c>
      <c r="D385" s="5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3">
      <c r="A386" s="3" t="s">
        <v>398</v>
      </c>
      <c r="B386" s="4">
        <v>45620</v>
      </c>
      <c r="C386" s="3" t="s">
        <v>1598</v>
      </c>
      <c r="D386" s="5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3">
      <c r="A387" s="3" t="s">
        <v>399</v>
      </c>
      <c r="B387" s="4">
        <v>45230</v>
      </c>
      <c r="C387" s="3" t="s">
        <v>1599</v>
      </c>
      <c r="D387" s="5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3">
      <c r="A388" s="3" t="s">
        <v>400</v>
      </c>
      <c r="B388" s="4">
        <v>45044</v>
      </c>
      <c r="C388" s="3" t="s">
        <v>1600</v>
      </c>
      <c r="D388" s="5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4283</v>
      </c>
      <c r="M388" s="3" t="s">
        <v>4280</v>
      </c>
      <c r="N388">
        <v>93.02</v>
      </c>
    </row>
    <row r="389" spans="1:14" x14ac:dyDescent="0.3">
      <c r="A389" s="3" t="s">
        <v>401</v>
      </c>
      <c r="B389" s="4">
        <v>45470</v>
      </c>
      <c r="C389" s="3" t="s">
        <v>1601</v>
      </c>
      <c r="D389" s="5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3">
      <c r="A390" s="3" t="s">
        <v>402</v>
      </c>
      <c r="B390" s="4">
        <v>45288</v>
      </c>
      <c r="C390" s="3" t="s">
        <v>1602</v>
      </c>
      <c r="D390" s="5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3">
      <c r="A391" s="3" t="s">
        <v>403</v>
      </c>
      <c r="B391" s="4">
        <v>45277</v>
      </c>
      <c r="C391" s="3" t="s">
        <v>1603</v>
      </c>
      <c r="D391" s="5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3">
      <c r="A392" s="3" t="s">
        <v>404</v>
      </c>
      <c r="B392" s="4">
        <v>45121</v>
      </c>
      <c r="C392" s="3" t="s">
        <v>1604</v>
      </c>
      <c r="D392" s="5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3">
      <c r="A393" s="3" t="s">
        <v>405</v>
      </c>
      <c r="B393" s="4">
        <v>45673</v>
      </c>
      <c r="C393" s="3" t="s">
        <v>1605</v>
      </c>
      <c r="D393" s="5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3">
      <c r="A394" s="3" t="s">
        <v>406</v>
      </c>
      <c r="B394" s="4">
        <v>45350</v>
      </c>
      <c r="C394" s="3" t="s">
        <v>1606</v>
      </c>
      <c r="D394" s="5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3">
      <c r="A395" s="3" t="s">
        <v>407</v>
      </c>
      <c r="B395" s="4">
        <v>45487</v>
      </c>
      <c r="C395" s="3" t="s">
        <v>1607</v>
      </c>
      <c r="D395" s="5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4283</v>
      </c>
      <c r="M395" s="3" t="s">
        <v>4282</v>
      </c>
      <c r="N395">
        <v>75.010000000000005</v>
      </c>
    </row>
    <row r="396" spans="1:14" x14ac:dyDescent="0.3">
      <c r="A396" s="3" t="s">
        <v>408</v>
      </c>
      <c r="B396" s="4">
        <v>45112</v>
      </c>
      <c r="C396" s="3" t="s">
        <v>1608</v>
      </c>
      <c r="D396" s="5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4283</v>
      </c>
      <c r="M396" s="3" t="s">
        <v>4281</v>
      </c>
      <c r="N396">
        <v>2647.75</v>
      </c>
    </row>
    <row r="397" spans="1:14" x14ac:dyDescent="0.3">
      <c r="A397" s="3" t="s">
        <v>409</v>
      </c>
      <c r="B397" s="4">
        <v>45772</v>
      </c>
      <c r="C397" s="3" t="s">
        <v>1609</v>
      </c>
      <c r="D397" s="5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3">
      <c r="A398" s="3" t="s">
        <v>410</v>
      </c>
      <c r="B398" s="4">
        <v>45261</v>
      </c>
      <c r="C398" s="3" t="s">
        <v>1610</v>
      </c>
      <c r="D398" s="5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3">
      <c r="A399" s="3" t="s">
        <v>411</v>
      </c>
      <c r="B399" s="4">
        <v>45197</v>
      </c>
      <c r="C399" s="3" t="s">
        <v>1611</v>
      </c>
      <c r="D399" s="5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3">
      <c r="A400" s="3" t="s">
        <v>412</v>
      </c>
      <c r="B400" s="4">
        <v>45539</v>
      </c>
      <c r="C400" s="3" t="s">
        <v>1612</v>
      </c>
      <c r="D400" s="5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3">
      <c r="A401" s="3" t="s">
        <v>413</v>
      </c>
      <c r="B401" s="4">
        <v>45298</v>
      </c>
      <c r="C401" s="3" t="s">
        <v>1613</v>
      </c>
      <c r="D401" s="5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3">
      <c r="A402" s="3" t="s">
        <v>414</v>
      </c>
      <c r="B402" s="4">
        <v>45563</v>
      </c>
      <c r="C402" s="3" t="s">
        <v>1614</v>
      </c>
      <c r="D402" s="5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3">
      <c r="A403" s="3" t="s">
        <v>415</v>
      </c>
      <c r="B403" s="4">
        <v>45756</v>
      </c>
      <c r="C403" s="3" t="s">
        <v>1615</v>
      </c>
      <c r="D403" s="5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4283</v>
      </c>
      <c r="M403" s="3" t="s">
        <v>4279</v>
      </c>
      <c r="N403">
        <v>538.67999999999995</v>
      </c>
    </row>
    <row r="404" spans="1:14" x14ac:dyDescent="0.3">
      <c r="A404" s="3" t="s">
        <v>416</v>
      </c>
      <c r="B404" s="4">
        <v>45025</v>
      </c>
      <c r="C404" s="3" t="s">
        <v>1616</v>
      </c>
      <c r="D404" s="5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4283</v>
      </c>
      <c r="M404" s="3" t="s">
        <v>4279</v>
      </c>
      <c r="N404">
        <v>1686.9</v>
      </c>
    </row>
    <row r="405" spans="1:14" x14ac:dyDescent="0.3">
      <c r="A405" s="3" t="s">
        <v>417</v>
      </c>
      <c r="B405" s="4">
        <v>45606</v>
      </c>
      <c r="C405" s="3" t="s">
        <v>1617</v>
      </c>
      <c r="D405" s="5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3">
      <c r="A406" s="3" t="s">
        <v>418</v>
      </c>
      <c r="B406" s="4">
        <v>44994</v>
      </c>
      <c r="C406" s="3" t="s">
        <v>1618</v>
      </c>
      <c r="D406" s="5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4283</v>
      </c>
      <c r="M406" s="3" t="s">
        <v>4278</v>
      </c>
      <c r="N406">
        <v>198.2</v>
      </c>
    </row>
    <row r="407" spans="1:14" x14ac:dyDescent="0.3">
      <c r="A407" s="3" t="s">
        <v>419</v>
      </c>
      <c r="B407" s="4">
        <v>45683</v>
      </c>
      <c r="C407" s="3" t="s">
        <v>1619</v>
      </c>
      <c r="D407" s="5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3">
      <c r="A408" s="3" t="s">
        <v>420</v>
      </c>
      <c r="B408" s="4">
        <v>45270</v>
      </c>
      <c r="C408" s="3" t="s">
        <v>1620</v>
      </c>
      <c r="D408" s="5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3">
      <c r="A409" s="3" t="s">
        <v>421</v>
      </c>
      <c r="B409" s="4">
        <v>45151</v>
      </c>
      <c r="C409" s="3" t="s">
        <v>1621</v>
      </c>
      <c r="D409" s="5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3">
      <c r="A410" s="3" t="s">
        <v>422</v>
      </c>
      <c r="B410" s="4">
        <v>45658</v>
      </c>
      <c r="C410" s="3" t="s">
        <v>1622</v>
      </c>
      <c r="D410" s="5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3">
      <c r="A411" s="3" t="s">
        <v>423</v>
      </c>
      <c r="B411" s="4">
        <v>45105</v>
      </c>
      <c r="C411" s="3" t="s">
        <v>1623</v>
      </c>
      <c r="D411" s="5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3">
      <c r="A412" s="3" t="s">
        <v>424</v>
      </c>
      <c r="B412" s="4">
        <v>45309</v>
      </c>
      <c r="C412" s="3" t="s">
        <v>1624</v>
      </c>
      <c r="D412" s="5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4283</v>
      </c>
      <c r="M412" s="3" t="s">
        <v>4280</v>
      </c>
      <c r="N412">
        <v>1036.46</v>
      </c>
    </row>
    <row r="413" spans="1:14" x14ac:dyDescent="0.3">
      <c r="A413" s="3" t="s">
        <v>425</v>
      </c>
      <c r="B413" s="4">
        <v>45462</v>
      </c>
      <c r="C413" s="3" t="s">
        <v>1625</v>
      </c>
      <c r="D413" s="5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4283</v>
      </c>
      <c r="M413" s="3" t="s">
        <v>4281</v>
      </c>
      <c r="N413">
        <v>79.02</v>
      </c>
    </row>
    <row r="414" spans="1:14" x14ac:dyDescent="0.3">
      <c r="A414" s="3" t="s">
        <v>426</v>
      </c>
      <c r="B414" s="4">
        <v>45758</v>
      </c>
      <c r="C414" s="3" t="s">
        <v>1626</v>
      </c>
      <c r="D414" s="5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4283</v>
      </c>
      <c r="M414" s="3" t="s">
        <v>4281</v>
      </c>
      <c r="N414">
        <v>665.05</v>
      </c>
    </row>
    <row r="415" spans="1:14" x14ac:dyDescent="0.3">
      <c r="A415" s="3" t="s">
        <v>427</v>
      </c>
      <c r="B415" s="4">
        <v>45207</v>
      </c>
      <c r="C415" s="3" t="s">
        <v>1627</v>
      </c>
      <c r="D415" s="5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3">
      <c r="A416" s="3" t="s">
        <v>428</v>
      </c>
      <c r="B416" s="4">
        <v>45781</v>
      </c>
      <c r="C416" s="3" t="s">
        <v>1628</v>
      </c>
      <c r="D416" s="5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3">
      <c r="A417" s="3" t="s">
        <v>429</v>
      </c>
      <c r="B417" s="4">
        <v>45753</v>
      </c>
      <c r="C417" s="3" t="s">
        <v>1629</v>
      </c>
      <c r="D417" s="5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3">
      <c r="A418" s="3" t="s">
        <v>430</v>
      </c>
      <c r="B418" s="4">
        <v>45125</v>
      </c>
      <c r="C418" s="3" t="s">
        <v>1630</v>
      </c>
      <c r="D418" s="5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3">
      <c r="A419" s="3" t="s">
        <v>431</v>
      </c>
      <c r="B419" s="4">
        <v>45223</v>
      </c>
      <c r="C419" s="3" t="s">
        <v>1631</v>
      </c>
      <c r="D419" s="5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4283</v>
      </c>
      <c r="M419" s="3" t="s">
        <v>4282</v>
      </c>
      <c r="N419">
        <v>277.05</v>
      </c>
    </row>
    <row r="420" spans="1:14" x14ac:dyDescent="0.3">
      <c r="A420" s="3" t="s">
        <v>432</v>
      </c>
      <c r="B420" s="4">
        <v>44937</v>
      </c>
      <c r="C420" s="3" t="s">
        <v>1632</v>
      </c>
      <c r="D420" s="5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4283</v>
      </c>
      <c r="M420" s="3" t="s">
        <v>4281</v>
      </c>
      <c r="N420">
        <v>310.93</v>
      </c>
    </row>
    <row r="421" spans="1:14" x14ac:dyDescent="0.3">
      <c r="A421" s="3" t="s">
        <v>433</v>
      </c>
      <c r="B421" s="4">
        <v>45399</v>
      </c>
      <c r="C421" s="3" t="s">
        <v>1633</v>
      </c>
      <c r="D421" s="5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3">
      <c r="A422" s="3" t="s">
        <v>434</v>
      </c>
      <c r="B422" s="4">
        <v>45625</v>
      </c>
      <c r="C422" s="3" t="s">
        <v>1634</v>
      </c>
      <c r="D422" s="5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3">
      <c r="A423" s="3" t="s">
        <v>435</v>
      </c>
      <c r="B423" s="4">
        <v>45214</v>
      </c>
      <c r="C423" s="3" t="s">
        <v>1635</v>
      </c>
      <c r="D423" s="5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4283</v>
      </c>
      <c r="M423" s="3" t="s">
        <v>4280</v>
      </c>
      <c r="N423">
        <v>576.41999999999996</v>
      </c>
    </row>
    <row r="424" spans="1:14" x14ac:dyDescent="0.3">
      <c r="A424" s="3" t="s">
        <v>436</v>
      </c>
      <c r="B424" s="4">
        <v>45082</v>
      </c>
      <c r="C424" s="3" t="s">
        <v>1636</v>
      </c>
      <c r="D424" s="5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3">
      <c r="A425" s="3" t="s">
        <v>437</v>
      </c>
      <c r="B425" s="4">
        <v>45493</v>
      </c>
      <c r="C425" s="3" t="s">
        <v>1637</v>
      </c>
      <c r="D425" s="5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3">
      <c r="A426" s="3" t="s">
        <v>438</v>
      </c>
      <c r="B426" s="4">
        <v>45028</v>
      </c>
      <c r="C426" s="3" t="s">
        <v>1638</v>
      </c>
      <c r="D426" s="5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4283</v>
      </c>
      <c r="M426" s="3" t="s">
        <v>4280</v>
      </c>
      <c r="N426">
        <v>114.7</v>
      </c>
    </row>
    <row r="427" spans="1:14" x14ac:dyDescent="0.3">
      <c r="A427" s="3" t="s">
        <v>439</v>
      </c>
      <c r="B427" s="4">
        <v>44994</v>
      </c>
      <c r="C427" s="3" t="s">
        <v>1639</v>
      </c>
      <c r="D427" s="5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3">
      <c r="A428" s="3" t="s">
        <v>440</v>
      </c>
      <c r="B428" s="4">
        <v>45732</v>
      </c>
      <c r="C428" s="3" t="s">
        <v>1640</v>
      </c>
      <c r="D428" s="5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4283</v>
      </c>
      <c r="M428" s="3" t="s">
        <v>4281</v>
      </c>
      <c r="N428">
        <v>287.25</v>
      </c>
    </row>
    <row r="429" spans="1:14" x14ac:dyDescent="0.3">
      <c r="A429" s="3" t="s">
        <v>441</v>
      </c>
      <c r="B429" s="4">
        <v>45644</v>
      </c>
      <c r="C429" s="3" t="s">
        <v>1641</v>
      </c>
      <c r="D429" s="5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3">
      <c r="A430" s="3" t="s">
        <v>442</v>
      </c>
      <c r="B430" s="4">
        <v>45622</v>
      </c>
      <c r="C430" s="3" t="s">
        <v>1642</v>
      </c>
      <c r="D430" s="5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3">
      <c r="A431" s="3" t="s">
        <v>443</v>
      </c>
      <c r="B431" s="4">
        <v>45645</v>
      </c>
      <c r="C431" s="3" t="s">
        <v>1643</v>
      </c>
      <c r="D431" s="5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3">
      <c r="A432" s="3" t="s">
        <v>444</v>
      </c>
      <c r="B432" s="4">
        <v>45084</v>
      </c>
      <c r="C432" s="3" t="s">
        <v>1644</v>
      </c>
      <c r="D432" s="5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3">
      <c r="A433" s="3" t="s">
        <v>445</v>
      </c>
      <c r="B433" s="4">
        <v>45571</v>
      </c>
      <c r="C433" s="3" t="s">
        <v>1645</v>
      </c>
      <c r="D433" s="5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3">
      <c r="A434" s="3" t="s">
        <v>446</v>
      </c>
      <c r="B434" s="4">
        <v>45173</v>
      </c>
      <c r="C434" s="3" t="s">
        <v>1646</v>
      </c>
      <c r="D434" s="5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4283</v>
      </c>
      <c r="M434" s="3" t="s">
        <v>4279</v>
      </c>
      <c r="N434">
        <v>848.64</v>
      </c>
    </row>
    <row r="435" spans="1:14" x14ac:dyDescent="0.3">
      <c r="A435" s="3" t="s">
        <v>447</v>
      </c>
      <c r="B435" s="4">
        <v>45164</v>
      </c>
      <c r="C435" s="3" t="s">
        <v>1647</v>
      </c>
      <c r="D435" s="5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3">
      <c r="A436" s="3" t="s">
        <v>448</v>
      </c>
      <c r="B436" s="4">
        <v>45221</v>
      </c>
      <c r="C436" s="3" t="s">
        <v>1648</v>
      </c>
      <c r="D436" s="5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4283</v>
      </c>
      <c r="M436" s="3" t="s">
        <v>4281</v>
      </c>
      <c r="N436">
        <v>1638.4</v>
      </c>
    </row>
    <row r="437" spans="1:14" x14ac:dyDescent="0.3">
      <c r="A437" s="3" t="s">
        <v>449</v>
      </c>
      <c r="B437" s="4">
        <v>45073</v>
      </c>
      <c r="C437" s="3" t="s">
        <v>1649</v>
      </c>
      <c r="D437" s="5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3">
      <c r="A438" s="3" t="s">
        <v>450</v>
      </c>
      <c r="B438" s="4">
        <v>44968</v>
      </c>
      <c r="C438" s="3" t="s">
        <v>1650</v>
      </c>
      <c r="D438" s="5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4283</v>
      </c>
      <c r="M438" s="3" t="s">
        <v>4282</v>
      </c>
      <c r="N438">
        <v>885.32</v>
      </c>
    </row>
    <row r="439" spans="1:14" x14ac:dyDescent="0.3">
      <c r="A439" s="3" t="s">
        <v>451</v>
      </c>
      <c r="B439" s="4">
        <v>45400</v>
      </c>
      <c r="C439" s="3" t="s">
        <v>1651</v>
      </c>
      <c r="D439" s="5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3">
      <c r="A440" s="3" t="s">
        <v>452</v>
      </c>
      <c r="B440" s="4">
        <v>45660</v>
      </c>
      <c r="C440" s="3" t="s">
        <v>1652</v>
      </c>
      <c r="D440" s="5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3">
      <c r="A441" s="3" t="s">
        <v>453</v>
      </c>
      <c r="B441" s="4">
        <v>45543</v>
      </c>
      <c r="C441" s="3" t="s">
        <v>1653</v>
      </c>
      <c r="D441" s="5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3">
      <c r="A442" s="3" t="s">
        <v>454</v>
      </c>
      <c r="B442" s="4">
        <v>45601</v>
      </c>
      <c r="C442" s="3" t="s">
        <v>1654</v>
      </c>
      <c r="D442" s="5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3">
      <c r="A443" s="3" t="s">
        <v>455</v>
      </c>
      <c r="B443" s="4">
        <v>45273</v>
      </c>
      <c r="C443" s="3" t="s">
        <v>1655</v>
      </c>
      <c r="D443" s="5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3">
      <c r="A444" s="3" t="s">
        <v>456</v>
      </c>
      <c r="B444" s="4">
        <v>45418</v>
      </c>
      <c r="C444" s="3" t="s">
        <v>1656</v>
      </c>
      <c r="D444" s="5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3">
      <c r="A445" s="3" t="s">
        <v>457</v>
      </c>
      <c r="B445" s="4">
        <v>45426</v>
      </c>
      <c r="C445" s="3" t="s">
        <v>1657</v>
      </c>
      <c r="D445" s="5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4283</v>
      </c>
      <c r="M445" s="3" t="s">
        <v>4281</v>
      </c>
      <c r="N445">
        <v>139.28</v>
      </c>
    </row>
    <row r="446" spans="1:14" x14ac:dyDescent="0.3">
      <c r="A446" s="3" t="s">
        <v>458</v>
      </c>
      <c r="B446" s="4">
        <v>45451</v>
      </c>
      <c r="C446" s="3" t="s">
        <v>1658</v>
      </c>
      <c r="D446" s="5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3">
      <c r="A447" s="3" t="s">
        <v>459</v>
      </c>
      <c r="B447" s="4">
        <v>45374</v>
      </c>
      <c r="C447" s="3" t="s">
        <v>1659</v>
      </c>
      <c r="D447" s="5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3">
      <c r="A448" s="3" t="s">
        <v>460</v>
      </c>
      <c r="B448" s="4">
        <v>45217</v>
      </c>
      <c r="C448" s="3" t="s">
        <v>1660</v>
      </c>
      <c r="D448" s="5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3">
      <c r="A449" s="3" t="s">
        <v>461</v>
      </c>
      <c r="B449" s="4">
        <v>45389</v>
      </c>
      <c r="C449" s="3" t="s">
        <v>1661</v>
      </c>
      <c r="D449" s="5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4283</v>
      </c>
      <c r="M449" s="3" t="s">
        <v>4281</v>
      </c>
      <c r="N449">
        <v>833.62</v>
      </c>
    </row>
    <row r="450" spans="1:14" x14ac:dyDescent="0.3">
      <c r="A450" s="3" t="s">
        <v>462</v>
      </c>
      <c r="B450" s="4">
        <v>45173</v>
      </c>
      <c r="C450" s="3" t="s">
        <v>1662</v>
      </c>
      <c r="D450" s="5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3">
      <c r="A451" s="3" t="s">
        <v>463</v>
      </c>
      <c r="B451" s="4">
        <v>45530</v>
      </c>
      <c r="C451" s="3" t="s">
        <v>1663</v>
      </c>
      <c r="D451" s="5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4283</v>
      </c>
      <c r="M451" s="3" t="s">
        <v>4278</v>
      </c>
      <c r="N451">
        <v>759.15000000000009</v>
      </c>
    </row>
    <row r="452" spans="1:14" x14ac:dyDescent="0.3">
      <c r="A452" s="3" t="s">
        <v>464</v>
      </c>
      <c r="B452" s="4">
        <v>45306</v>
      </c>
      <c r="C452" s="3" t="s">
        <v>1664</v>
      </c>
      <c r="D452" s="5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3">
      <c r="A453" s="3" t="s">
        <v>465</v>
      </c>
      <c r="B453" s="4">
        <v>45017</v>
      </c>
      <c r="C453" s="3" t="s">
        <v>1665</v>
      </c>
      <c r="D453" s="5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3">
      <c r="A454" s="3" t="s">
        <v>466</v>
      </c>
      <c r="B454" s="4">
        <v>45130</v>
      </c>
      <c r="C454" s="3" t="s">
        <v>1666</v>
      </c>
      <c r="D454" s="5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3">
      <c r="A455" s="3" t="s">
        <v>467</v>
      </c>
      <c r="B455" s="4">
        <v>45779</v>
      </c>
      <c r="C455" s="3" t="s">
        <v>1667</v>
      </c>
      <c r="D455" s="5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3">
      <c r="A456" s="3" t="s">
        <v>468</v>
      </c>
      <c r="B456" s="4">
        <v>45623</v>
      </c>
      <c r="C456" s="3" t="s">
        <v>1668</v>
      </c>
      <c r="D456" s="5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3">
      <c r="A457" s="3" t="s">
        <v>469</v>
      </c>
      <c r="B457" s="4">
        <v>45377</v>
      </c>
      <c r="C457" s="3" t="s">
        <v>1669</v>
      </c>
      <c r="D457" s="5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3">
      <c r="A458" s="3" t="s">
        <v>470</v>
      </c>
      <c r="B458" s="4">
        <v>45103</v>
      </c>
      <c r="C458" s="3" t="s">
        <v>1670</v>
      </c>
      <c r="D458" s="5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3">
      <c r="A459" s="3" t="s">
        <v>471</v>
      </c>
      <c r="B459" s="4">
        <v>45802</v>
      </c>
      <c r="C459" s="3" t="s">
        <v>1671</v>
      </c>
      <c r="D459" s="5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3">
      <c r="A460" s="3" t="s">
        <v>472</v>
      </c>
      <c r="B460" s="4">
        <v>45475</v>
      </c>
      <c r="C460" s="3" t="s">
        <v>1672</v>
      </c>
      <c r="D460" s="5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3">
      <c r="A461" s="3" t="s">
        <v>473</v>
      </c>
      <c r="B461" s="4">
        <v>45497</v>
      </c>
      <c r="C461" s="3" t="s">
        <v>1673</v>
      </c>
      <c r="D461" s="5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4283</v>
      </c>
      <c r="M461" s="3" t="s">
        <v>4278</v>
      </c>
      <c r="N461">
        <v>334.39</v>
      </c>
    </row>
    <row r="462" spans="1:14" x14ac:dyDescent="0.3">
      <c r="A462" s="3" t="s">
        <v>474</v>
      </c>
      <c r="B462" s="4">
        <v>45571</v>
      </c>
      <c r="C462" s="3" t="s">
        <v>1674</v>
      </c>
      <c r="D462" s="5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3">
      <c r="A463" s="3" t="s">
        <v>475</v>
      </c>
      <c r="B463" s="4">
        <v>45451</v>
      </c>
      <c r="C463" s="3" t="s">
        <v>1675</v>
      </c>
      <c r="D463" s="5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3">
      <c r="A464" s="3" t="s">
        <v>476</v>
      </c>
      <c r="B464" s="4">
        <v>45747</v>
      </c>
      <c r="C464" s="3" t="s">
        <v>1676</v>
      </c>
      <c r="D464" s="5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4283</v>
      </c>
      <c r="M464" s="3" t="s">
        <v>4279</v>
      </c>
      <c r="N464">
        <v>252.68</v>
      </c>
    </row>
    <row r="465" spans="1:14" x14ac:dyDescent="0.3">
      <c r="A465" s="3" t="s">
        <v>477</v>
      </c>
      <c r="B465" s="4">
        <v>45072</v>
      </c>
      <c r="C465" s="3" t="s">
        <v>1677</v>
      </c>
      <c r="D465" s="5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3">
      <c r="A466" s="3" t="s">
        <v>478</v>
      </c>
      <c r="B466" s="4">
        <v>44999</v>
      </c>
      <c r="C466" s="3" t="s">
        <v>1678</v>
      </c>
      <c r="D466" s="5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3">
      <c r="A467" s="3" t="s">
        <v>479</v>
      </c>
      <c r="B467" s="4">
        <v>45348</v>
      </c>
      <c r="C467" s="3" t="s">
        <v>1679</v>
      </c>
      <c r="D467" s="5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4283</v>
      </c>
      <c r="M467" s="3" t="s">
        <v>4282</v>
      </c>
      <c r="N467">
        <v>2567.4499999999998</v>
      </c>
    </row>
    <row r="468" spans="1:14" x14ac:dyDescent="0.3">
      <c r="A468" s="3" t="s">
        <v>480</v>
      </c>
      <c r="B468" s="4">
        <v>45125</v>
      </c>
      <c r="C468" s="3" t="s">
        <v>1680</v>
      </c>
      <c r="D468" s="5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3">
      <c r="A469" s="3" t="s">
        <v>481</v>
      </c>
      <c r="B469" s="4">
        <v>45534</v>
      </c>
      <c r="C469" s="3" t="s">
        <v>1681</v>
      </c>
      <c r="D469" s="5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3">
      <c r="A470" s="3" t="s">
        <v>482</v>
      </c>
      <c r="B470" s="4">
        <v>45829</v>
      </c>
      <c r="C470" s="3" t="s">
        <v>1682</v>
      </c>
      <c r="D470" s="5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3">
      <c r="A471" s="3" t="s">
        <v>483</v>
      </c>
      <c r="B471" s="4">
        <v>45256</v>
      </c>
      <c r="C471" s="3" t="s">
        <v>1683</v>
      </c>
      <c r="D471" s="5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4283</v>
      </c>
      <c r="M471" s="3" t="s">
        <v>4281</v>
      </c>
      <c r="N471">
        <v>3384.9</v>
      </c>
    </row>
    <row r="472" spans="1:14" x14ac:dyDescent="0.3">
      <c r="A472" s="3" t="s">
        <v>484</v>
      </c>
      <c r="B472" s="4">
        <v>45198</v>
      </c>
      <c r="C472" s="3" t="s">
        <v>1684</v>
      </c>
      <c r="D472" s="5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3">
      <c r="A473" s="3" t="s">
        <v>485</v>
      </c>
      <c r="B473" s="4">
        <v>45766</v>
      </c>
      <c r="C473" s="3" t="s">
        <v>1685</v>
      </c>
      <c r="D473" s="5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3">
      <c r="A474" s="3" t="s">
        <v>486</v>
      </c>
      <c r="B474" s="4">
        <v>44932</v>
      </c>
      <c r="C474" s="3" t="s">
        <v>1686</v>
      </c>
      <c r="D474" s="5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3">
      <c r="A475" s="3" t="s">
        <v>487</v>
      </c>
      <c r="B475" s="4">
        <v>45713</v>
      </c>
      <c r="C475" s="3" t="s">
        <v>1687</v>
      </c>
      <c r="D475" s="5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4283</v>
      </c>
      <c r="M475" s="3" t="s">
        <v>4281</v>
      </c>
      <c r="N475">
        <v>29.86</v>
      </c>
    </row>
    <row r="476" spans="1:14" x14ac:dyDescent="0.3">
      <c r="A476" s="3" t="s">
        <v>488</v>
      </c>
      <c r="B476" s="4">
        <v>45245</v>
      </c>
      <c r="C476" s="3" t="s">
        <v>1688</v>
      </c>
      <c r="D476" s="5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3">
      <c r="A477" s="3" t="s">
        <v>489</v>
      </c>
      <c r="B477" s="4">
        <v>45766</v>
      </c>
      <c r="C477" s="3" t="s">
        <v>1689</v>
      </c>
      <c r="D477" s="5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3">
      <c r="A478" s="3" t="s">
        <v>490</v>
      </c>
      <c r="B478" s="4">
        <v>45306</v>
      </c>
      <c r="C478" s="3" t="s">
        <v>1690</v>
      </c>
      <c r="D478" s="5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3">
      <c r="A479" s="3" t="s">
        <v>491</v>
      </c>
      <c r="B479" s="4">
        <v>45721</v>
      </c>
      <c r="C479" s="3" t="s">
        <v>1691</v>
      </c>
      <c r="D479" s="5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3">
      <c r="A480" s="3" t="s">
        <v>492</v>
      </c>
      <c r="B480" s="4">
        <v>45597</v>
      </c>
      <c r="C480" s="3" t="s">
        <v>1692</v>
      </c>
      <c r="D480" s="5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3">
      <c r="A481" s="3" t="s">
        <v>493</v>
      </c>
      <c r="B481" s="4">
        <v>44975</v>
      </c>
      <c r="C481" s="3" t="s">
        <v>1693</v>
      </c>
      <c r="D481" s="5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4283</v>
      </c>
      <c r="M481" s="3" t="s">
        <v>4282</v>
      </c>
      <c r="N481">
        <v>101.16</v>
      </c>
    </row>
    <row r="482" spans="1:14" x14ac:dyDescent="0.3">
      <c r="A482" s="3" t="s">
        <v>494</v>
      </c>
      <c r="B482" s="4">
        <v>45093</v>
      </c>
      <c r="C482" s="3" t="s">
        <v>1694</v>
      </c>
      <c r="D482" s="5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3">
      <c r="A483" s="3" t="s">
        <v>495</v>
      </c>
      <c r="B483" s="4">
        <v>45039</v>
      </c>
      <c r="C483" s="3" t="s">
        <v>1695</v>
      </c>
      <c r="D483" s="5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3">
      <c r="A484" s="3" t="s">
        <v>496</v>
      </c>
      <c r="B484" s="4">
        <v>45718</v>
      </c>
      <c r="C484" s="3" t="s">
        <v>1696</v>
      </c>
      <c r="D484" s="5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4283</v>
      </c>
      <c r="M484" s="3" t="s">
        <v>4278</v>
      </c>
      <c r="N484">
        <v>1144.23</v>
      </c>
    </row>
    <row r="485" spans="1:14" x14ac:dyDescent="0.3">
      <c r="A485" s="3" t="s">
        <v>497</v>
      </c>
      <c r="B485" s="4">
        <v>44944</v>
      </c>
      <c r="C485" s="3" t="s">
        <v>1697</v>
      </c>
      <c r="D485" s="5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3">
      <c r="A486" s="3" t="s">
        <v>498</v>
      </c>
      <c r="B486" s="4">
        <v>45441</v>
      </c>
      <c r="C486" s="3" t="s">
        <v>1698</v>
      </c>
      <c r="D486" s="5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4283</v>
      </c>
      <c r="M486" s="3" t="s">
        <v>4281</v>
      </c>
      <c r="N486">
        <v>60.04</v>
      </c>
    </row>
    <row r="487" spans="1:14" x14ac:dyDescent="0.3">
      <c r="A487" s="3" t="s">
        <v>499</v>
      </c>
      <c r="B487" s="4">
        <v>45139</v>
      </c>
      <c r="C487" s="3" t="s">
        <v>1699</v>
      </c>
      <c r="D487" s="5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3">
      <c r="A488" s="3" t="s">
        <v>500</v>
      </c>
      <c r="B488" s="4">
        <v>44960</v>
      </c>
      <c r="C488" s="3" t="s">
        <v>1700</v>
      </c>
      <c r="D488" s="5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3">
      <c r="A489" s="3" t="s">
        <v>501</v>
      </c>
      <c r="B489" s="4">
        <v>44994</v>
      </c>
      <c r="C489" s="3" t="s">
        <v>1701</v>
      </c>
      <c r="D489" s="5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3">
      <c r="A490" s="3" t="s">
        <v>502</v>
      </c>
      <c r="B490" s="4">
        <v>45631</v>
      </c>
      <c r="C490" s="3" t="s">
        <v>1702</v>
      </c>
      <c r="D490" s="5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3">
      <c r="A491" s="3" t="s">
        <v>503</v>
      </c>
      <c r="B491" s="4">
        <v>45174</v>
      </c>
      <c r="C491" s="3" t="s">
        <v>1703</v>
      </c>
      <c r="D491" s="5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3">
      <c r="A492" s="3" t="s">
        <v>504</v>
      </c>
      <c r="B492" s="4">
        <v>45495</v>
      </c>
      <c r="C492" s="3" t="s">
        <v>1704</v>
      </c>
      <c r="D492" s="5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4283</v>
      </c>
      <c r="M492" s="3" t="s">
        <v>4281</v>
      </c>
      <c r="N492">
        <v>2339.0500000000002</v>
      </c>
    </row>
    <row r="493" spans="1:14" x14ac:dyDescent="0.3">
      <c r="A493" s="3" t="s">
        <v>505</v>
      </c>
      <c r="B493" s="4">
        <v>44931</v>
      </c>
      <c r="C493" s="3" t="s">
        <v>1705</v>
      </c>
      <c r="D493" s="5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3">
      <c r="A494" s="3" t="s">
        <v>506</v>
      </c>
      <c r="B494" s="4">
        <v>45224</v>
      </c>
      <c r="C494" s="3" t="s">
        <v>1706</v>
      </c>
      <c r="D494" s="5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3">
      <c r="A495" s="3" t="s">
        <v>507</v>
      </c>
      <c r="B495" s="4">
        <v>45685</v>
      </c>
      <c r="C495" s="3" t="s">
        <v>1707</v>
      </c>
      <c r="D495" s="5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3">
      <c r="A496" s="3" t="s">
        <v>508</v>
      </c>
      <c r="B496" s="4">
        <v>45126</v>
      </c>
      <c r="C496" s="3" t="s">
        <v>1708</v>
      </c>
      <c r="D496" s="5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3">
      <c r="A497" s="3" t="s">
        <v>509</v>
      </c>
      <c r="B497" s="4">
        <v>45813</v>
      </c>
      <c r="C497" s="3" t="s">
        <v>1709</v>
      </c>
      <c r="D497" s="5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3">
      <c r="A498" s="3" t="s">
        <v>510</v>
      </c>
      <c r="B498" s="4">
        <v>45730</v>
      </c>
      <c r="C498" s="3" t="s">
        <v>1710</v>
      </c>
      <c r="D498" s="5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3">
      <c r="A499" s="3" t="s">
        <v>511</v>
      </c>
      <c r="B499" s="4">
        <v>45589</v>
      </c>
      <c r="C499" s="3" t="s">
        <v>1711</v>
      </c>
      <c r="D499" s="5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4283</v>
      </c>
      <c r="M499" s="3" t="s">
        <v>4282</v>
      </c>
      <c r="N499">
        <v>336.87</v>
      </c>
    </row>
    <row r="500" spans="1:14" x14ac:dyDescent="0.3">
      <c r="A500" s="3" t="s">
        <v>512</v>
      </c>
      <c r="B500" s="4">
        <v>45119</v>
      </c>
      <c r="C500" s="3" t="s">
        <v>1712</v>
      </c>
      <c r="D500" s="5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3">
      <c r="A501" s="3" t="s">
        <v>513</v>
      </c>
      <c r="B501" s="4">
        <v>45022</v>
      </c>
      <c r="C501" s="3" t="s">
        <v>1713</v>
      </c>
      <c r="D501" s="5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3">
      <c r="A502" s="3" t="s">
        <v>514</v>
      </c>
      <c r="B502" s="4">
        <v>45389</v>
      </c>
      <c r="C502" s="3" t="s">
        <v>1714</v>
      </c>
      <c r="D502" s="5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3">
      <c r="A503" s="3" t="s">
        <v>515</v>
      </c>
      <c r="B503" s="4">
        <v>45326</v>
      </c>
      <c r="C503" s="3" t="s">
        <v>1715</v>
      </c>
      <c r="D503" s="5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3">
      <c r="A504" s="3" t="s">
        <v>516</v>
      </c>
      <c r="B504" s="4">
        <v>45066</v>
      </c>
      <c r="C504" s="3" t="s">
        <v>1716</v>
      </c>
      <c r="D504" s="5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3">
      <c r="A505" s="3" t="s">
        <v>517</v>
      </c>
      <c r="B505" s="4">
        <v>45169</v>
      </c>
      <c r="C505" s="3" t="s">
        <v>1717</v>
      </c>
      <c r="D505" s="5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3">
      <c r="A506" s="3" t="s">
        <v>518</v>
      </c>
      <c r="B506" s="4">
        <v>45819</v>
      </c>
      <c r="C506" s="3" t="s">
        <v>1718</v>
      </c>
      <c r="D506" s="5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3">
      <c r="A507" s="3" t="s">
        <v>519</v>
      </c>
      <c r="B507" s="4">
        <v>45088</v>
      </c>
      <c r="C507" s="3" t="s">
        <v>1719</v>
      </c>
      <c r="D507" s="5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4283</v>
      </c>
      <c r="M507" s="3" t="s">
        <v>4280</v>
      </c>
      <c r="N507">
        <v>869.94</v>
      </c>
    </row>
    <row r="508" spans="1:14" x14ac:dyDescent="0.3">
      <c r="A508" s="3" t="s">
        <v>520</v>
      </c>
      <c r="B508" s="4">
        <v>45132</v>
      </c>
      <c r="C508" s="3" t="s">
        <v>1720</v>
      </c>
      <c r="D508" s="5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3">
      <c r="A509" s="3" t="s">
        <v>521</v>
      </c>
      <c r="B509" s="4">
        <v>45112</v>
      </c>
      <c r="C509" s="3" t="s">
        <v>1721</v>
      </c>
      <c r="D509" s="5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3">
      <c r="A510" s="3" t="s">
        <v>522</v>
      </c>
      <c r="B510" s="4">
        <v>45791</v>
      </c>
      <c r="C510" s="3" t="s">
        <v>1722</v>
      </c>
      <c r="D510" s="5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4283</v>
      </c>
      <c r="M510" s="3" t="s">
        <v>4279</v>
      </c>
      <c r="N510">
        <v>558.27</v>
      </c>
    </row>
    <row r="511" spans="1:14" x14ac:dyDescent="0.3">
      <c r="A511" s="3" t="s">
        <v>523</v>
      </c>
      <c r="B511" s="4">
        <v>44972</v>
      </c>
      <c r="C511" s="3" t="s">
        <v>1723</v>
      </c>
      <c r="D511" s="5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3">
      <c r="A512" s="3" t="s">
        <v>524</v>
      </c>
      <c r="B512" s="4">
        <v>45642</v>
      </c>
      <c r="C512" s="3" t="s">
        <v>1724</v>
      </c>
      <c r="D512" s="5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3">
      <c r="A513" s="3" t="s">
        <v>525</v>
      </c>
      <c r="B513" s="4">
        <v>45366</v>
      </c>
      <c r="C513" s="3" t="s">
        <v>1725</v>
      </c>
      <c r="D513" s="5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3">
      <c r="A514" s="3" t="s">
        <v>526</v>
      </c>
      <c r="B514" s="4">
        <v>45562</v>
      </c>
      <c r="C514" s="3" t="s">
        <v>1726</v>
      </c>
      <c r="D514" s="5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3">
      <c r="A515" s="3" t="s">
        <v>527</v>
      </c>
      <c r="B515" s="4">
        <v>45697</v>
      </c>
      <c r="C515" s="3" t="s">
        <v>1727</v>
      </c>
      <c r="D515" s="5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4283</v>
      </c>
      <c r="M515" s="3" t="s">
        <v>4279</v>
      </c>
      <c r="N515">
        <v>284.64</v>
      </c>
    </row>
    <row r="516" spans="1:14" x14ac:dyDescent="0.3">
      <c r="A516" s="3" t="s">
        <v>528</v>
      </c>
      <c r="B516" s="4">
        <v>45032</v>
      </c>
      <c r="C516" s="3" t="s">
        <v>1728</v>
      </c>
      <c r="D516" s="5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912.44999999999993</v>
      </c>
    </row>
    <row r="517" spans="1:14" x14ac:dyDescent="0.3">
      <c r="A517" s="3" t="s">
        <v>529</v>
      </c>
      <c r="B517" s="4">
        <v>44999</v>
      </c>
      <c r="C517" s="3" t="s">
        <v>1729</v>
      </c>
      <c r="D517" s="5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3">
      <c r="A518" s="3" t="s">
        <v>530</v>
      </c>
      <c r="B518" s="4">
        <v>45389</v>
      </c>
      <c r="C518" s="3" t="s">
        <v>1730</v>
      </c>
      <c r="D518" s="5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4283</v>
      </c>
      <c r="M518" s="3" t="s">
        <v>4281</v>
      </c>
      <c r="N518">
        <v>500.97</v>
      </c>
    </row>
    <row r="519" spans="1:14" x14ac:dyDescent="0.3">
      <c r="A519" s="3" t="s">
        <v>531</v>
      </c>
      <c r="B519" s="4">
        <v>45391</v>
      </c>
      <c r="C519" s="3" t="s">
        <v>1731</v>
      </c>
      <c r="D519" s="5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3">
      <c r="A520" s="3" t="s">
        <v>532</v>
      </c>
      <c r="B520" s="4">
        <v>45821</v>
      </c>
      <c r="C520" s="3" t="s">
        <v>1732</v>
      </c>
      <c r="D520" s="5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3">
      <c r="A521" s="3" t="s">
        <v>533</v>
      </c>
      <c r="B521" s="4">
        <v>45787</v>
      </c>
      <c r="C521" s="3" t="s">
        <v>1733</v>
      </c>
      <c r="D521" s="5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3">
      <c r="A522" s="3" t="s">
        <v>534</v>
      </c>
      <c r="B522" s="4">
        <v>44995</v>
      </c>
      <c r="C522" s="3" t="s">
        <v>1734</v>
      </c>
      <c r="D522" s="5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4283</v>
      </c>
      <c r="M522" s="3" t="s">
        <v>4279</v>
      </c>
      <c r="N522">
        <v>1907.94</v>
      </c>
    </row>
    <row r="523" spans="1:14" x14ac:dyDescent="0.3">
      <c r="A523" s="3" t="s">
        <v>535</v>
      </c>
      <c r="B523" s="4">
        <v>45347</v>
      </c>
      <c r="C523" s="3" t="s">
        <v>1735</v>
      </c>
      <c r="D523" s="5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4283</v>
      </c>
      <c r="M523" s="3" t="s">
        <v>4281</v>
      </c>
      <c r="N523">
        <v>528.05999999999995</v>
      </c>
    </row>
    <row r="524" spans="1:14" x14ac:dyDescent="0.3">
      <c r="A524" s="3" t="s">
        <v>536</v>
      </c>
      <c r="B524" s="4">
        <v>45402</v>
      </c>
      <c r="C524" s="3" t="s">
        <v>1736</v>
      </c>
      <c r="D524" s="5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3">
      <c r="A525" s="3" t="s">
        <v>537</v>
      </c>
      <c r="B525" s="4">
        <v>45706</v>
      </c>
      <c r="C525" s="3" t="s">
        <v>1737</v>
      </c>
      <c r="D525" s="5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3">
      <c r="A526" s="3" t="s">
        <v>538</v>
      </c>
      <c r="B526" s="4">
        <v>45224</v>
      </c>
      <c r="C526" s="3" t="s">
        <v>1738</v>
      </c>
      <c r="D526" s="5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4283</v>
      </c>
      <c r="M526" s="3" t="s">
        <v>4279</v>
      </c>
      <c r="N526">
        <v>153</v>
      </c>
    </row>
    <row r="527" spans="1:14" x14ac:dyDescent="0.3">
      <c r="A527" s="3" t="s">
        <v>539</v>
      </c>
      <c r="B527" s="4">
        <v>45263</v>
      </c>
      <c r="C527" s="3" t="s">
        <v>1739</v>
      </c>
      <c r="D527" s="5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3">
      <c r="A528" s="3" t="s">
        <v>540</v>
      </c>
      <c r="B528" s="4">
        <v>45351</v>
      </c>
      <c r="C528" s="3" t="s">
        <v>1740</v>
      </c>
      <c r="D528" s="5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3">
      <c r="A529" s="3" t="s">
        <v>541</v>
      </c>
      <c r="B529" s="4">
        <v>45523</v>
      </c>
      <c r="C529" s="3" t="s">
        <v>1741</v>
      </c>
      <c r="D529" s="5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3">
      <c r="A530" s="3" t="s">
        <v>542</v>
      </c>
      <c r="B530" s="4">
        <v>45714</v>
      </c>
      <c r="C530" s="3" t="s">
        <v>1742</v>
      </c>
      <c r="D530" s="5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3">
      <c r="A531" s="3" t="s">
        <v>543</v>
      </c>
      <c r="B531" s="4">
        <v>45389</v>
      </c>
      <c r="C531" s="3" t="s">
        <v>1743</v>
      </c>
      <c r="D531" s="5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3">
      <c r="A532" s="3" t="s">
        <v>544</v>
      </c>
      <c r="B532" s="4">
        <v>45491</v>
      </c>
      <c r="C532" s="3" t="s">
        <v>1744</v>
      </c>
      <c r="D532" s="5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4283</v>
      </c>
      <c r="M532" s="3" t="s">
        <v>4282</v>
      </c>
      <c r="N532">
        <v>357.64</v>
      </c>
    </row>
    <row r="533" spans="1:14" x14ac:dyDescent="0.3">
      <c r="A533" s="3" t="s">
        <v>545</v>
      </c>
      <c r="B533" s="4">
        <v>45475</v>
      </c>
      <c r="C533" s="3" t="s">
        <v>1745</v>
      </c>
      <c r="D533" s="5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4283</v>
      </c>
      <c r="M533" s="3" t="s">
        <v>4279</v>
      </c>
      <c r="N533">
        <v>1600.05</v>
      </c>
    </row>
    <row r="534" spans="1:14" x14ac:dyDescent="0.3">
      <c r="A534" s="3" t="s">
        <v>546</v>
      </c>
      <c r="B534" s="4">
        <v>45780</v>
      </c>
      <c r="C534" s="3" t="s">
        <v>1746</v>
      </c>
      <c r="D534" s="5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4283</v>
      </c>
      <c r="M534" s="3" t="s">
        <v>4280</v>
      </c>
      <c r="N534">
        <v>82</v>
      </c>
    </row>
    <row r="535" spans="1:14" x14ac:dyDescent="0.3">
      <c r="A535" s="3" t="s">
        <v>547</v>
      </c>
      <c r="B535" s="4">
        <v>44990</v>
      </c>
      <c r="C535" s="3" t="s">
        <v>1747</v>
      </c>
      <c r="D535" s="5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3">
      <c r="A536" s="3" t="s">
        <v>548</v>
      </c>
      <c r="B536" s="4">
        <v>45449</v>
      </c>
      <c r="C536" s="3" t="s">
        <v>1748</v>
      </c>
      <c r="D536" s="5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3">
      <c r="A537" s="3" t="s">
        <v>549</v>
      </c>
      <c r="B537" s="4">
        <v>45497</v>
      </c>
      <c r="C537" s="3" t="s">
        <v>1749</v>
      </c>
      <c r="D537" s="5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3">
      <c r="A538" s="3" t="s">
        <v>550</v>
      </c>
      <c r="B538" s="4">
        <v>45452</v>
      </c>
      <c r="C538" s="3" t="s">
        <v>1750</v>
      </c>
      <c r="D538" s="5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4283</v>
      </c>
      <c r="M538" s="3" t="s">
        <v>4280</v>
      </c>
      <c r="N538">
        <v>616.1</v>
      </c>
    </row>
    <row r="539" spans="1:14" x14ac:dyDescent="0.3">
      <c r="A539" s="3" t="s">
        <v>551</v>
      </c>
      <c r="B539" s="4">
        <v>45739</v>
      </c>
      <c r="C539" s="3" t="s">
        <v>1751</v>
      </c>
      <c r="D539" s="5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3">
      <c r="A540" s="3" t="s">
        <v>552</v>
      </c>
      <c r="B540" s="4">
        <v>45436</v>
      </c>
      <c r="C540" s="3" t="s">
        <v>1752</v>
      </c>
      <c r="D540" s="5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3">
      <c r="A541" s="3" t="s">
        <v>553</v>
      </c>
      <c r="B541" s="4">
        <v>45706</v>
      </c>
      <c r="C541" s="3" t="s">
        <v>1753</v>
      </c>
      <c r="D541" s="5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3">
      <c r="A542" s="3" t="s">
        <v>554</v>
      </c>
      <c r="B542" s="4">
        <v>45320</v>
      </c>
      <c r="C542" s="3" t="s">
        <v>1754</v>
      </c>
      <c r="D542" s="5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4283</v>
      </c>
      <c r="M542" s="3" t="s">
        <v>4279</v>
      </c>
      <c r="N542">
        <v>3243.25</v>
      </c>
    </row>
    <row r="543" spans="1:14" x14ac:dyDescent="0.3">
      <c r="A543" s="3" t="s">
        <v>555</v>
      </c>
      <c r="B543" s="4">
        <v>45145</v>
      </c>
      <c r="C543" s="3" t="s">
        <v>1755</v>
      </c>
      <c r="D543" s="5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4283</v>
      </c>
      <c r="M543" s="3" t="s">
        <v>4278</v>
      </c>
      <c r="N543">
        <v>2280.3000000000002</v>
      </c>
    </row>
    <row r="544" spans="1:14" x14ac:dyDescent="0.3">
      <c r="A544" s="3" t="s">
        <v>556</v>
      </c>
      <c r="B544" s="4">
        <v>45244</v>
      </c>
      <c r="C544" s="3" t="s">
        <v>1756</v>
      </c>
      <c r="D544" s="5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3">
      <c r="A545" s="3" t="s">
        <v>557</v>
      </c>
      <c r="B545" s="4">
        <v>45360</v>
      </c>
      <c r="C545" s="3" t="s">
        <v>1757</v>
      </c>
      <c r="D545" s="5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3">
      <c r="A546" s="3" t="s">
        <v>558</v>
      </c>
      <c r="B546" s="4">
        <v>45361</v>
      </c>
      <c r="C546" s="3" t="s">
        <v>1758</v>
      </c>
      <c r="D546" s="5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3">
      <c r="A547" s="3" t="s">
        <v>559</v>
      </c>
      <c r="B547" s="4">
        <v>45279</v>
      </c>
      <c r="C547" s="3" t="s">
        <v>1759</v>
      </c>
      <c r="D547" s="5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4283</v>
      </c>
      <c r="M547" s="3" t="s">
        <v>4278</v>
      </c>
      <c r="N547">
        <v>196.94</v>
      </c>
    </row>
    <row r="548" spans="1:14" x14ac:dyDescent="0.3">
      <c r="A548" s="3" t="s">
        <v>560</v>
      </c>
      <c r="B548" s="4">
        <v>45352</v>
      </c>
      <c r="C548" s="3" t="s">
        <v>1760</v>
      </c>
      <c r="D548" s="5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3">
      <c r="A549" s="3" t="s">
        <v>561</v>
      </c>
      <c r="B549" s="4">
        <v>45158</v>
      </c>
      <c r="C549" s="3" t="s">
        <v>1761</v>
      </c>
      <c r="D549" s="5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3">
      <c r="A550" s="3" t="s">
        <v>562</v>
      </c>
      <c r="B550" s="4">
        <v>45296</v>
      </c>
      <c r="C550" s="3" t="s">
        <v>1762</v>
      </c>
      <c r="D550" s="5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3">
      <c r="A551" s="3" t="s">
        <v>563</v>
      </c>
      <c r="B551" s="4">
        <v>45713</v>
      </c>
      <c r="C551" s="3" t="s">
        <v>1763</v>
      </c>
      <c r="D551" s="5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3">
      <c r="A552" s="3" t="s">
        <v>564</v>
      </c>
      <c r="B552" s="4">
        <v>45228</v>
      </c>
      <c r="C552" s="3" t="s">
        <v>1764</v>
      </c>
      <c r="D552" s="5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3">
      <c r="A553" s="3" t="s">
        <v>565</v>
      </c>
      <c r="B553" s="4">
        <v>45064</v>
      </c>
      <c r="C553" s="3" t="s">
        <v>1765</v>
      </c>
      <c r="D553" s="5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3">
      <c r="A554" s="3" t="s">
        <v>566</v>
      </c>
      <c r="B554" s="4">
        <v>45199</v>
      </c>
      <c r="C554" s="3" t="s">
        <v>1766</v>
      </c>
      <c r="D554" s="5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3">
      <c r="A555" s="3" t="s">
        <v>567</v>
      </c>
      <c r="B555" s="4">
        <v>45161</v>
      </c>
      <c r="C555" s="3" t="s">
        <v>1767</v>
      </c>
      <c r="D555" s="5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3">
      <c r="A556" s="3" t="s">
        <v>568</v>
      </c>
      <c r="B556" s="4">
        <v>45807</v>
      </c>
      <c r="C556" s="3" t="s">
        <v>1768</v>
      </c>
      <c r="D556" s="5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3">
      <c r="A557" s="3" t="s">
        <v>569</v>
      </c>
      <c r="B557" s="4">
        <v>44933</v>
      </c>
      <c r="C557" s="3" t="s">
        <v>1769</v>
      </c>
      <c r="D557" s="5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4283</v>
      </c>
      <c r="M557" s="3" t="s">
        <v>4281</v>
      </c>
      <c r="N557">
        <v>92.04</v>
      </c>
    </row>
    <row r="558" spans="1:14" x14ac:dyDescent="0.3">
      <c r="A558" s="3" t="s">
        <v>570</v>
      </c>
      <c r="B558" s="4">
        <v>44954</v>
      </c>
      <c r="C558" s="3" t="s">
        <v>1770</v>
      </c>
      <c r="D558" s="5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3">
      <c r="A559" s="3" t="s">
        <v>571</v>
      </c>
      <c r="B559" s="4">
        <v>45106</v>
      </c>
      <c r="C559" s="3" t="s">
        <v>1771</v>
      </c>
      <c r="D559" s="5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3">
      <c r="A560" s="3" t="s">
        <v>572</v>
      </c>
      <c r="B560" s="4">
        <v>45489</v>
      </c>
      <c r="C560" s="3" t="s">
        <v>1772</v>
      </c>
      <c r="D560" s="5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3">
      <c r="A561" s="3" t="s">
        <v>573</v>
      </c>
      <c r="B561" s="4">
        <v>45397</v>
      </c>
      <c r="C561" s="3" t="s">
        <v>1773</v>
      </c>
      <c r="D561" s="5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3">
      <c r="A562" s="3" t="s">
        <v>574</v>
      </c>
      <c r="B562" s="4">
        <v>44957</v>
      </c>
      <c r="C562" s="3" t="s">
        <v>1774</v>
      </c>
      <c r="D562" s="5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4283</v>
      </c>
      <c r="M562" s="3" t="s">
        <v>4280</v>
      </c>
      <c r="N562">
        <v>2355.4</v>
      </c>
    </row>
    <row r="563" spans="1:14" x14ac:dyDescent="0.3">
      <c r="A563" s="3" t="s">
        <v>575</v>
      </c>
      <c r="B563" s="4">
        <v>44957</v>
      </c>
      <c r="C563" s="3" t="s">
        <v>1775</v>
      </c>
      <c r="D563" s="5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4283</v>
      </c>
      <c r="M563" s="3" t="s">
        <v>4282</v>
      </c>
      <c r="N563">
        <v>989.56</v>
      </c>
    </row>
    <row r="564" spans="1:14" x14ac:dyDescent="0.3">
      <c r="A564" s="3" t="s">
        <v>576</v>
      </c>
      <c r="B564" s="4">
        <v>45205</v>
      </c>
      <c r="C564" s="3" t="s">
        <v>1776</v>
      </c>
      <c r="D564" s="5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3">
      <c r="A565" s="3" t="s">
        <v>577</v>
      </c>
      <c r="B565" s="4">
        <v>45272</v>
      </c>
      <c r="C565" s="3" t="s">
        <v>1777</v>
      </c>
      <c r="D565" s="5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3">
      <c r="A566" s="3" t="s">
        <v>578</v>
      </c>
      <c r="B566" s="4">
        <v>45755</v>
      </c>
      <c r="C566" s="3" t="s">
        <v>1778</v>
      </c>
      <c r="D566" s="5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3">
      <c r="A567" s="3" t="s">
        <v>579</v>
      </c>
      <c r="B567" s="4">
        <v>45060</v>
      </c>
      <c r="C567" s="3" t="s">
        <v>1779</v>
      </c>
      <c r="D567" s="5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4283</v>
      </c>
      <c r="M567" s="3" t="s">
        <v>4281</v>
      </c>
      <c r="N567">
        <v>1539.9</v>
      </c>
    </row>
    <row r="568" spans="1:14" x14ac:dyDescent="0.3">
      <c r="A568" s="3" t="s">
        <v>580</v>
      </c>
      <c r="B568" s="4">
        <v>45400</v>
      </c>
      <c r="C568" s="3" t="s">
        <v>1780</v>
      </c>
      <c r="D568" s="5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3">
      <c r="A569" s="3" t="s">
        <v>581</v>
      </c>
      <c r="B569" s="4">
        <v>45565</v>
      </c>
      <c r="C569" s="3" t="s">
        <v>1781</v>
      </c>
      <c r="D569" s="5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3">
      <c r="A570" s="3" t="s">
        <v>582</v>
      </c>
      <c r="B570" s="4">
        <v>44995</v>
      </c>
      <c r="C570" s="3" t="s">
        <v>1782</v>
      </c>
      <c r="D570" s="5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4283</v>
      </c>
      <c r="M570" s="3" t="s">
        <v>4282</v>
      </c>
      <c r="N570">
        <v>687.98</v>
      </c>
    </row>
    <row r="571" spans="1:14" x14ac:dyDescent="0.3">
      <c r="A571" s="3" t="s">
        <v>583</v>
      </c>
      <c r="B571" s="4">
        <v>45738</v>
      </c>
      <c r="C571" s="3" t="s">
        <v>1783</v>
      </c>
      <c r="D571" s="5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3">
      <c r="A572" s="3" t="s">
        <v>584</v>
      </c>
      <c r="B572" s="4">
        <v>45653</v>
      </c>
      <c r="C572" s="3" t="s">
        <v>1784</v>
      </c>
      <c r="D572" s="5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3">
      <c r="A573" s="3" t="s">
        <v>585</v>
      </c>
      <c r="B573" s="4">
        <v>45619</v>
      </c>
      <c r="C573" s="3" t="s">
        <v>1785</v>
      </c>
      <c r="D573" s="5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3">
      <c r="A574" s="3" t="s">
        <v>586</v>
      </c>
      <c r="B574" s="4">
        <v>45241</v>
      </c>
      <c r="C574" s="3" t="s">
        <v>1786</v>
      </c>
      <c r="D574" s="5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3">
      <c r="A575" s="3" t="s">
        <v>587</v>
      </c>
      <c r="B575" s="4">
        <v>44951</v>
      </c>
      <c r="C575" s="3" t="s">
        <v>1787</v>
      </c>
      <c r="D575" s="5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4283</v>
      </c>
      <c r="M575" s="3" t="s">
        <v>4278</v>
      </c>
      <c r="N575">
        <v>2107.1</v>
      </c>
    </row>
    <row r="576" spans="1:14" x14ac:dyDescent="0.3">
      <c r="A576" s="3" t="s">
        <v>588</v>
      </c>
      <c r="B576" s="4">
        <v>45315</v>
      </c>
      <c r="C576" s="3" t="s">
        <v>1788</v>
      </c>
      <c r="D576" s="5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3">
      <c r="A577" s="3" t="s">
        <v>589</v>
      </c>
      <c r="B577" s="4">
        <v>45084</v>
      </c>
      <c r="C577" s="3" t="s">
        <v>1789</v>
      </c>
      <c r="D577" s="5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3">
      <c r="A578" s="3" t="s">
        <v>590</v>
      </c>
      <c r="B578" s="4">
        <v>45441</v>
      </c>
      <c r="C578" s="3" t="s">
        <v>1790</v>
      </c>
      <c r="D578" s="5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4283</v>
      </c>
      <c r="M578" s="3" t="s">
        <v>4281</v>
      </c>
      <c r="N578">
        <v>395.4</v>
      </c>
    </row>
    <row r="579" spans="1:14" x14ac:dyDescent="0.3">
      <c r="A579" s="3" t="s">
        <v>591</v>
      </c>
      <c r="B579" s="4">
        <v>44948</v>
      </c>
      <c r="C579" s="3" t="s">
        <v>1791</v>
      </c>
      <c r="D579" s="5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3">
      <c r="A580" s="3" t="s">
        <v>592</v>
      </c>
      <c r="B580" s="4">
        <v>45575</v>
      </c>
      <c r="C580" s="3" t="s">
        <v>1792</v>
      </c>
      <c r="D580" s="5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3">
      <c r="A581" s="3" t="s">
        <v>593</v>
      </c>
      <c r="B581" s="4">
        <v>45081</v>
      </c>
      <c r="C581" s="3" t="s">
        <v>1793</v>
      </c>
      <c r="D581" s="5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3">
      <c r="A582" s="3" t="s">
        <v>594</v>
      </c>
      <c r="B582" s="4">
        <v>45244</v>
      </c>
      <c r="C582" s="3" t="s">
        <v>1794</v>
      </c>
      <c r="D582" s="5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3">
      <c r="A583" s="3" t="s">
        <v>595</v>
      </c>
      <c r="B583" s="4">
        <v>45607</v>
      </c>
      <c r="C583" s="3" t="s">
        <v>1795</v>
      </c>
      <c r="D583" s="5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4283</v>
      </c>
      <c r="M583" s="3" t="s">
        <v>4279</v>
      </c>
      <c r="N583">
        <v>627.34</v>
      </c>
    </row>
    <row r="584" spans="1:14" x14ac:dyDescent="0.3">
      <c r="A584" s="3" t="s">
        <v>596</v>
      </c>
      <c r="B584" s="4">
        <v>45341</v>
      </c>
      <c r="C584" s="3" t="s">
        <v>1796</v>
      </c>
      <c r="D584" s="5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3">
      <c r="A585" s="3" t="s">
        <v>597</v>
      </c>
      <c r="B585" s="4">
        <v>45823</v>
      </c>
      <c r="C585" s="3" t="s">
        <v>1797</v>
      </c>
      <c r="D585" s="5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4283</v>
      </c>
      <c r="M585" s="3" t="s">
        <v>4278</v>
      </c>
      <c r="N585">
        <v>463.11</v>
      </c>
    </row>
    <row r="586" spans="1:14" x14ac:dyDescent="0.3">
      <c r="A586" s="3" t="s">
        <v>598</v>
      </c>
      <c r="B586" s="4">
        <v>45737</v>
      </c>
      <c r="C586" s="3" t="s">
        <v>1798</v>
      </c>
      <c r="D586" s="5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3">
      <c r="A587" s="3" t="s">
        <v>599</v>
      </c>
      <c r="B587" s="4">
        <v>45158</v>
      </c>
      <c r="C587" s="3" t="s">
        <v>1799</v>
      </c>
      <c r="D587" s="5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3">
      <c r="A588" s="3" t="s">
        <v>600</v>
      </c>
      <c r="B588" s="4">
        <v>45606</v>
      </c>
      <c r="C588" s="3" t="s">
        <v>1800</v>
      </c>
      <c r="D588" s="5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3">
      <c r="A589" s="3" t="s">
        <v>601</v>
      </c>
      <c r="B589" s="4">
        <v>45089</v>
      </c>
      <c r="C589" s="3" t="s">
        <v>1801</v>
      </c>
      <c r="D589" s="5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3">
      <c r="A590" s="3" t="s">
        <v>602</v>
      </c>
      <c r="B590" s="4">
        <v>45636</v>
      </c>
      <c r="C590" s="3" t="s">
        <v>1802</v>
      </c>
      <c r="D590" s="5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4283</v>
      </c>
      <c r="M590" s="3" t="s">
        <v>4282</v>
      </c>
      <c r="N590">
        <v>2311.2800000000002</v>
      </c>
    </row>
    <row r="591" spans="1:14" x14ac:dyDescent="0.3">
      <c r="A591" s="3" t="s">
        <v>603</v>
      </c>
      <c r="B591" s="4">
        <v>45698</v>
      </c>
      <c r="C591" s="3" t="s">
        <v>1803</v>
      </c>
      <c r="D591" s="5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3">
      <c r="A592" s="3" t="s">
        <v>604</v>
      </c>
      <c r="B592" s="4">
        <v>45179</v>
      </c>
      <c r="C592" s="3" t="s">
        <v>1804</v>
      </c>
      <c r="D592" s="5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4283</v>
      </c>
      <c r="M592" s="3" t="s">
        <v>4280</v>
      </c>
      <c r="N592">
        <v>922.26</v>
      </c>
    </row>
    <row r="593" spans="1:14" x14ac:dyDescent="0.3">
      <c r="A593" s="3" t="s">
        <v>605</v>
      </c>
      <c r="B593" s="4">
        <v>45614</v>
      </c>
      <c r="C593" s="3" t="s">
        <v>1805</v>
      </c>
      <c r="D593" s="5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3">
      <c r="A594" s="3" t="s">
        <v>606</v>
      </c>
      <c r="B594" s="4">
        <v>45405</v>
      </c>
      <c r="C594" s="3" t="s">
        <v>1806</v>
      </c>
      <c r="D594" s="5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4283</v>
      </c>
      <c r="M594" s="3" t="s">
        <v>4282</v>
      </c>
      <c r="N594">
        <v>612.81000000000006</v>
      </c>
    </row>
    <row r="595" spans="1:14" x14ac:dyDescent="0.3">
      <c r="A595" s="3" t="s">
        <v>607</v>
      </c>
      <c r="B595" s="4">
        <v>45140</v>
      </c>
      <c r="C595" s="3" t="s">
        <v>1807</v>
      </c>
      <c r="D595" s="5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3">
      <c r="A596" s="3" t="s">
        <v>608</v>
      </c>
      <c r="B596" s="4">
        <v>45343</v>
      </c>
      <c r="C596" s="3" t="s">
        <v>1808</v>
      </c>
      <c r="D596" s="5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4283</v>
      </c>
      <c r="M596" s="3" t="s">
        <v>4280</v>
      </c>
      <c r="N596">
        <v>363.2</v>
      </c>
    </row>
    <row r="597" spans="1:14" x14ac:dyDescent="0.3">
      <c r="A597" s="3" t="s">
        <v>609</v>
      </c>
      <c r="B597" s="4">
        <v>45667</v>
      </c>
      <c r="C597" s="3" t="s">
        <v>1809</v>
      </c>
      <c r="D597" s="5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3">
      <c r="A598" s="3" t="s">
        <v>610</v>
      </c>
      <c r="B598" s="4">
        <v>45089</v>
      </c>
      <c r="C598" s="3" t="s">
        <v>1810</v>
      </c>
      <c r="D598" s="5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3">
      <c r="A599" s="3" t="s">
        <v>611</v>
      </c>
      <c r="B599" s="4">
        <v>45621</v>
      </c>
      <c r="C599" s="3" t="s">
        <v>1811</v>
      </c>
      <c r="D599" s="5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3">
      <c r="A600" s="3" t="s">
        <v>612</v>
      </c>
      <c r="B600" s="4">
        <v>45408</v>
      </c>
      <c r="C600" s="3" t="s">
        <v>1812</v>
      </c>
      <c r="D600" s="5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4283</v>
      </c>
      <c r="M600" s="3" t="s">
        <v>4281</v>
      </c>
      <c r="N600">
        <v>2476.75</v>
      </c>
    </row>
    <row r="601" spans="1:14" x14ac:dyDescent="0.3">
      <c r="A601" s="3" t="s">
        <v>613</v>
      </c>
      <c r="B601" s="4">
        <v>45107</v>
      </c>
      <c r="C601" s="3" t="s">
        <v>1813</v>
      </c>
      <c r="D601" s="5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3">
      <c r="A602" s="3" t="s">
        <v>614</v>
      </c>
      <c r="B602" s="4">
        <v>45072</v>
      </c>
      <c r="C602" s="3" t="s">
        <v>1814</v>
      </c>
      <c r="D602" s="5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3">
      <c r="A603" s="3" t="s">
        <v>615</v>
      </c>
      <c r="B603" s="4">
        <v>45201</v>
      </c>
      <c r="C603" s="3" t="s">
        <v>1815</v>
      </c>
      <c r="D603" s="5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4283</v>
      </c>
      <c r="M603" s="3" t="s">
        <v>4279</v>
      </c>
      <c r="N603">
        <v>124.1</v>
      </c>
    </row>
    <row r="604" spans="1:14" x14ac:dyDescent="0.3">
      <c r="A604" s="3" t="s">
        <v>616</v>
      </c>
      <c r="B604" s="4">
        <v>45356</v>
      </c>
      <c r="C604" s="3" t="s">
        <v>1696</v>
      </c>
      <c r="D604" s="5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3">
      <c r="A605" s="3" t="s">
        <v>617</v>
      </c>
      <c r="B605" s="4">
        <v>45569</v>
      </c>
      <c r="C605" s="3" t="s">
        <v>1816</v>
      </c>
      <c r="D605" s="5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3">
      <c r="A606" s="3" t="s">
        <v>618</v>
      </c>
      <c r="B606" s="4">
        <v>45830</v>
      </c>
      <c r="C606" s="3" t="s">
        <v>1817</v>
      </c>
      <c r="D606" s="5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4283</v>
      </c>
      <c r="M606" s="3" t="s">
        <v>4281</v>
      </c>
      <c r="N606">
        <v>97.859999999999985</v>
      </c>
    </row>
    <row r="607" spans="1:14" x14ac:dyDescent="0.3">
      <c r="A607" s="3" t="s">
        <v>619</v>
      </c>
      <c r="B607" s="4">
        <v>45422</v>
      </c>
      <c r="C607" s="3" t="s">
        <v>1818</v>
      </c>
      <c r="D607" s="5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3">
      <c r="A608" s="3" t="s">
        <v>620</v>
      </c>
      <c r="B608" s="4">
        <v>45602</v>
      </c>
      <c r="C608" s="3" t="s">
        <v>1819</v>
      </c>
      <c r="D608" s="5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3">
      <c r="A609" s="3" t="s">
        <v>621</v>
      </c>
      <c r="B609" s="4">
        <v>45808</v>
      </c>
      <c r="C609" s="3" t="s">
        <v>1820</v>
      </c>
      <c r="D609" s="5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3">
      <c r="A610" s="3" t="s">
        <v>622</v>
      </c>
      <c r="B610" s="4">
        <v>45497</v>
      </c>
      <c r="C610" s="3" t="s">
        <v>1821</v>
      </c>
      <c r="D610" s="5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3">
      <c r="A611" s="3" t="s">
        <v>623</v>
      </c>
      <c r="B611" s="4">
        <v>45684</v>
      </c>
      <c r="C611" s="3" t="s">
        <v>1822</v>
      </c>
      <c r="D611" s="5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3">
      <c r="A612" s="3" t="s">
        <v>624</v>
      </c>
      <c r="B612" s="4">
        <v>45459</v>
      </c>
      <c r="C612" s="3" t="s">
        <v>1823</v>
      </c>
      <c r="D612" s="5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3">
      <c r="A613" s="3" t="s">
        <v>625</v>
      </c>
      <c r="B613" s="4">
        <v>45037</v>
      </c>
      <c r="C613" s="3" t="s">
        <v>1824</v>
      </c>
      <c r="D613" s="5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3">
      <c r="A614" s="3" t="s">
        <v>626</v>
      </c>
      <c r="B614" s="4">
        <v>45079</v>
      </c>
      <c r="C614" s="3" t="s">
        <v>1825</v>
      </c>
      <c r="D614" s="5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4283</v>
      </c>
      <c r="M614" s="3" t="s">
        <v>4282</v>
      </c>
      <c r="N614">
        <v>1335.36</v>
      </c>
    </row>
    <row r="615" spans="1:14" x14ac:dyDescent="0.3">
      <c r="A615" s="3" t="s">
        <v>627</v>
      </c>
      <c r="B615" s="4">
        <v>45645</v>
      </c>
      <c r="C615" s="3" t="s">
        <v>1826</v>
      </c>
      <c r="D615" s="5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3">
      <c r="A616" s="3" t="s">
        <v>628</v>
      </c>
      <c r="B616" s="4">
        <v>45359</v>
      </c>
      <c r="C616" s="3" t="s">
        <v>1827</v>
      </c>
      <c r="D616" s="5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4283</v>
      </c>
      <c r="M616" s="3" t="s">
        <v>4279</v>
      </c>
      <c r="N616">
        <v>96.81</v>
      </c>
    </row>
    <row r="617" spans="1:14" x14ac:dyDescent="0.3">
      <c r="A617" s="3" t="s">
        <v>629</v>
      </c>
      <c r="B617" s="4">
        <v>45723</v>
      </c>
      <c r="C617" s="3" t="s">
        <v>1828</v>
      </c>
      <c r="D617" s="5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3">
      <c r="A618" s="3" t="s">
        <v>630</v>
      </c>
      <c r="B618" s="4">
        <v>45582</v>
      </c>
      <c r="C618" s="3" t="s">
        <v>1829</v>
      </c>
      <c r="D618" s="5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3">
      <c r="A619" s="3" t="s">
        <v>631</v>
      </c>
      <c r="B619" s="4">
        <v>45330</v>
      </c>
      <c r="C619" s="3" t="s">
        <v>1830</v>
      </c>
      <c r="D619" s="5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4283</v>
      </c>
      <c r="M619" s="3" t="s">
        <v>4279</v>
      </c>
      <c r="N619">
        <v>553.41</v>
      </c>
    </row>
    <row r="620" spans="1:14" x14ac:dyDescent="0.3">
      <c r="A620" s="3" t="s">
        <v>632</v>
      </c>
      <c r="B620" s="4">
        <v>45538</v>
      </c>
      <c r="C620" s="3" t="s">
        <v>1831</v>
      </c>
      <c r="D620" s="5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4283</v>
      </c>
      <c r="M620" s="3" t="s">
        <v>4278</v>
      </c>
      <c r="N620">
        <v>411.34</v>
      </c>
    </row>
    <row r="621" spans="1:14" x14ac:dyDescent="0.3">
      <c r="A621" s="3" t="s">
        <v>633</v>
      </c>
      <c r="B621" s="4">
        <v>45489</v>
      </c>
      <c r="C621" s="3" t="s">
        <v>1832</v>
      </c>
      <c r="D621" s="5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4283</v>
      </c>
      <c r="M621" s="3" t="s">
        <v>4279</v>
      </c>
      <c r="N621">
        <v>532.89</v>
      </c>
    </row>
    <row r="622" spans="1:14" x14ac:dyDescent="0.3">
      <c r="A622" s="3" t="s">
        <v>634</v>
      </c>
      <c r="B622" s="4">
        <v>45378</v>
      </c>
      <c r="C622" s="3" t="s">
        <v>1833</v>
      </c>
      <c r="D622" s="5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3">
      <c r="A623" s="3" t="s">
        <v>635</v>
      </c>
      <c r="B623" s="4">
        <v>45221</v>
      </c>
      <c r="C623" s="3" t="s">
        <v>1834</v>
      </c>
      <c r="D623" s="5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3">
      <c r="A624" s="3" t="s">
        <v>636</v>
      </c>
      <c r="B624" s="4">
        <v>45598</v>
      </c>
      <c r="C624" s="3" t="s">
        <v>1835</v>
      </c>
      <c r="D624" s="5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4283</v>
      </c>
      <c r="M624" s="3" t="s">
        <v>4281</v>
      </c>
      <c r="N624">
        <v>1181.9000000000001</v>
      </c>
    </row>
    <row r="625" spans="1:14" x14ac:dyDescent="0.3">
      <c r="A625" s="3" t="s">
        <v>637</v>
      </c>
      <c r="B625" s="4">
        <v>45093</v>
      </c>
      <c r="C625" s="3" t="s">
        <v>1836</v>
      </c>
      <c r="D625" s="5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3">
      <c r="A626" s="3" t="s">
        <v>638</v>
      </c>
      <c r="B626" s="4">
        <v>45307</v>
      </c>
      <c r="C626" s="3" t="s">
        <v>1837</v>
      </c>
      <c r="D626" s="5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4283</v>
      </c>
      <c r="M626" s="3" t="s">
        <v>4280</v>
      </c>
      <c r="N626">
        <v>1709.8</v>
      </c>
    </row>
    <row r="627" spans="1:14" x14ac:dyDescent="0.3">
      <c r="A627" s="3" t="s">
        <v>639</v>
      </c>
      <c r="B627" s="4">
        <v>45193</v>
      </c>
      <c r="C627" s="3" t="s">
        <v>1838</v>
      </c>
      <c r="D627" s="5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3">
      <c r="A628" s="3" t="s">
        <v>640</v>
      </c>
      <c r="B628" s="4">
        <v>45352</v>
      </c>
      <c r="C628" s="3" t="s">
        <v>1839</v>
      </c>
      <c r="D628" s="5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3">
      <c r="A629" s="3" t="s">
        <v>641</v>
      </c>
      <c r="B629" s="4">
        <v>45144</v>
      </c>
      <c r="C629" s="3" t="s">
        <v>1840</v>
      </c>
      <c r="D629" s="5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3">
      <c r="A630" s="3" t="s">
        <v>642</v>
      </c>
      <c r="B630" s="4">
        <v>45011</v>
      </c>
      <c r="C630" s="3" t="s">
        <v>1841</v>
      </c>
      <c r="D630" s="5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3">
      <c r="A631" s="3" t="s">
        <v>643</v>
      </c>
      <c r="B631" s="4">
        <v>45114</v>
      </c>
      <c r="C631" s="3" t="s">
        <v>1842</v>
      </c>
      <c r="D631" s="5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4283</v>
      </c>
      <c r="M631" s="3" t="s">
        <v>4279</v>
      </c>
      <c r="N631">
        <v>59.19</v>
      </c>
    </row>
    <row r="632" spans="1:14" x14ac:dyDescent="0.3">
      <c r="A632" s="3" t="s">
        <v>644</v>
      </c>
      <c r="B632" s="4">
        <v>45100</v>
      </c>
      <c r="C632" s="3" t="s">
        <v>1843</v>
      </c>
      <c r="D632" s="5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4283</v>
      </c>
      <c r="M632" s="3" t="s">
        <v>4278</v>
      </c>
      <c r="N632">
        <v>1244.2</v>
      </c>
    </row>
    <row r="633" spans="1:14" x14ac:dyDescent="0.3">
      <c r="A633" s="3" t="s">
        <v>645</v>
      </c>
      <c r="B633" s="4">
        <v>45535</v>
      </c>
      <c r="C633" s="3" t="s">
        <v>1844</v>
      </c>
      <c r="D633" s="5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3">
      <c r="A634" s="3" t="s">
        <v>646</v>
      </c>
      <c r="B634" s="4">
        <v>45048</v>
      </c>
      <c r="C634" s="3" t="s">
        <v>1845</v>
      </c>
      <c r="D634" s="5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3">
      <c r="A635" s="3" t="s">
        <v>647</v>
      </c>
      <c r="B635" s="4">
        <v>45392</v>
      </c>
      <c r="C635" s="3" t="s">
        <v>1846</v>
      </c>
      <c r="D635" s="5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3">
      <c r="A636" s="3" t="s">
        <v>648</v>
      </c>
      <c r="B636" s="4">
        <v>45407</v>
      </c>
      <c r="C636" s="3" t="s">
        <v>1847</v>
      </c>
      <c r="D636" s="5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3">
      <c r="A637" s="3" t="s">
        <v>649</v>
      </c>
      <c r="B637" s="4">
        <v>45273</v>
      </c>
      <c r="C637" s="3" t="s">
        <v>1848</v>
      </c>
      <c r="D637" s="5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4283</v>
      </c>
      <c r="M637" s="3" t="s">
        <v>4281</v>
      </c>
      <c r="N637">
        <v>191.04</v>
      </c>
    </row>
    <row r="638" spans="1:14" x14ac:dyDescent="0.3">
      <c r="A638" s="3" t="s">
        <v>650</v>
      </c>
      <c r="B638" s="4">
        <v>45204</v>
      </c>
      <c r="C638" s="3" t="s">
        <v>1849</v>
      </c>
      <c r="D638" s="5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3">
      <c r="A639" s="3" t="s">
        <v>651</v>
      </c>
      <c r="B639" s="4">
        <v>45564</v>
      </c>
      <c r="C639" s="3" t="s">
        <v>1850</v>
      </c>
      <c r="D639" s="5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3">
      <c r="A640" s="3" t="s">
        <v>652</v>
      </c>
      <c r="B640" s="4">
        <v>45214</v>
      </c>
      <c r="C640" s="3" t="s">
        <v>1851</v>
      </c>
      <c r="D640" s="5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3">
      <c r="A641" s="3" t="s">
        <v>653</v>
      </c>
      <c r="B641" s="4">
        <v>44946</v>
      </c>
      <c r="C641" s="3" t="s">
        <v>1852</v>
      </c>
      <c r="D641" s="5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4283</v>
      </c>
      <c r="M641" s="3" t="s">
        <v>4279</v>
      </c>
      <c r="N641">
        <v>529.19000000000005</v>
      </c>
    </row>
    <row r="642" spans="1:14" x14ac:dyDescent="0.3">
      <c r="A642" s="3" t="s">
        <v>654</v>
      </c>
      <c r="B642" s="4">
        <v>45349</v>
      </c>
      <c r="C642" s="3" t="s">
        <v>1853</v>
      </c>
      <c r="D642" s="5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3">
      <c r="A643" s="3" t="s">
        <v>655</v>
      </c>
      <c r="B643" s="4">
        <v>45473</v>
      </c>
      <c r="C643" s="3" t="s">
        <v>1854</v>
      </c>
      <c r="D643" s="5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3">
      <c r="A644" s="3" t="s">
        <v>656</v>
      </c>
      <c r="B644" s="4">
        <v>45411</v>
      </c>
      <c r="C644" s="3" t="s">
        <v>1855</v>
      </c>
      <c r="D644" s="5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3">
      <c r="A645" s="3" t="s">
        <v>657</v>
      </c>
      <c r="B645" s="4">
        <v>45530</v>
      </c>
      <c r="C645" s="3" t="s">
        <v>1856</v>
      </c>
      <c r="D645" s="5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3">
      <c r="A646" s="3" t="s">
        <v>658</v>
      </c>
      <c r="B646" s="4">
        <v>45245</v>
      </c>
      <c r="C646" s="3" t="s">
        <v>1857</v>
      </c>
      <c r="D646" s="5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3">
      <c r="A647" s="3" t="s">
        <v>659</v>
      </c>
      <c r="B647" s="4">
        <v>44928</v>
      </c>
      <c r="C647" s="3" t="s">
        <v>1858</v>
      </c>
      <c r="D647" s="5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3">
      <c r="A648" s="3" t="s">
        <v>660</v>
      </c>
      <c r="B648" s="4">
        <v>45226</v>
      </c>
      <c r="C648" s="3" t="s">
        <v>1859</v>
      </c>
      <c r="D648" s="5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3">
      <c r="A649" s="3" t="s">
        <v>661</v>
      </c>
      <c r="B649" s="4">
        <v>45771</v>
      </c>
      <c r="C649" s="3" t="s">
        <v>1860</v>
      </c>
      <c r="D649" s="5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3">
      <c r="A650" s="3" t="s">
        <v>662</v>
      </c>
      <c r="B650" s="4">
        <v>45675</v>
      </c>
      <c r="C650" s="3" t="s">
        <v>1861</v>
      </c>
      <c r="D650" s="5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3">
      <c r="A651" s="3" t="s">
        <v>663</v>
      </c>
      <c r="B651" s="4">
        <v>45283</v>
      </c>
      <c r="C651" s="3" t="s">
        <v>1862</v>
      </c>
      <c r="D651" s="5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3">
      <c r="A652" s="3" t="s">
        <v>664</v>
      </c>
      <c r="B652" s="4">
        <v>45064</v>
      </c>
      <c r="C652" s="3" t="s">
        <v>1863</v>
      </c>
      <c r="D652" s="5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3">
      <c r="A653" s="3" t="s">
        <v>665</v>
      </c>
      <c r="B653" s="4">
        <v>45608</v>
      </c>
      <c r="C653" s="3" t="s">
        <v>1864</v>
      </c>
      <c r="D653" s="5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4283</v>
      </c>
      <c r="M653" s="3" t="s">
        <v>4282</v>
      </c>
      <c r="N653">
        <v>1939.02</v>
      </c>
    </row>
    <row r="654" spans="1:14" x14ac:dyDescent="0.3">
      <c r="A654" s="3" t="s">
        <v>666</v>
      </c>
      <c r="B654" s="4">
        <v>45448</v>
      </c>
      <c r="C654" s="3" t="s">
        <v>1865</v>
      </c>
      <c r="D654" s="5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3">
      <c r="A655" s="3" t="s">
        <v>667</v>
      </c>
      <c r="B655" s="4">
        <v>45347</v>
      </c>
      <c r="C655" s="3" t="s">
        <v>1866</v>
      </c>
      <c r="D655" s="5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3">
      <c r="A656" s="3" t="s">
        <v>668</v>
      </c>
      <c r="B656" s="4">
        <v>45089</v>
      </c>
      <c r="C656" s="3" t="s">
        <v>1867</v>
      </c>
      <c r="D656" s="5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4283</v>
      </c>
      <c r="M656" s="3" t="s">
        <v>4278</v>
      </c>
      <c r="N656">
        <v>1147.1099999999999</v>
      </c>
    </row>
    <row r="657" spans="1:14" x14ac:dyDescent="0.3">
      <c r="A657" s="3" t="s">
        <v>669</v>
      </c>
      <c r="B657" s="4">
        <v>44999</v>
      </c>
      <c r="C657" s="3" t="s">
        <v>1868</v>
      </c>
      <c r="D657" s="5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3">
      <c r="A658" s="3" t="s">
        <v>670</v>
      </c>
      <c r="B658" s="4">
        <v>45309</v>
      </c>
      <c r="C658" s="3" t="s">
        <v>1869</v>
      </c>
      <c r="D658" s="5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3">
      <c r="A659" s="3" t="s">
        <v>671</v>
      </c>
      <c r="B659" s="4">
        <v>45284</v>
      </c>
      <c r="C659" s="3" t="s">
        <v>1870</v>
      </c>
      <c r="D659" s="5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3">
      <c r="A660" s="3" t="s">
        <v>672</v>
      </c>
      <c r="B660" s="4">
        <v>45765</v>
      </c>
      <c r="C660" s="3" t="s">
        <v>1871</v>
      </c>
      <c r="D660" s="5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3">
      <c r="A661" s="3" t="s">
        <v>673</v>
      </c>
      <c r="B661" s="4">
        <v>45591</v>
      </c>
      <c r="C661" s="3" t="s">
        <v>1872</v>
      </c>
      <c r="D661" s="5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3">
      <c r="A662" s="3" t="s">
        <v>674</v>
      </c>
      <c r="B662" s="4">
        <v>45584</v>
      </c>
      <c r="C662" s="3" t="s">
        <v>1873</v>
      </c>
      <c r="D662" s="5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3">
      <c r="A663" s="3" t="s">
        <v>675</v>
      </c>
      <c r="B663" s="4">
        <v>45716</v>
      </c>
      <c r="C663" s="3" t="s">
        <v>1874</v>
      </c>
      <c r="D663" s="5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3">
      <c r="A664" s="3" t="s">
        <v>676</v>
      </c>
      <c r="B664" s="4">
        <v>44954</v>
      </c>
      <c r="C664" s="3" t="s">
        <v>1875</v>
      </c>
      <c r="D664" s="5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4283</v>
      </c>
      <c r="M664" s="3" t="s">
        <v>4281</v>
      </c>
      <c r="N664">
        <v>1316.67</v>
      </c>
    </row>
    <row r="665" spans="1:14" x14ac:dyDescent="0.3">
      <c r="A665" s="3" t="s">
        <v>677</v>
      </c>
      <c r="B665" s="4">
        <v>45397</v>
      </c>
      <c r="C665" s="3" t="s">
        <v>1876</v>
      </c>
      <c r="D665" s="5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3">
      <c r="A666" s="3" t="s">
        <v>678</v>
      </c>
      <c r="B666" s="4">
        <v>45645</v>
      </c>
      <c r="C666" s="3" t="s">
        <v>1450</v>
      </c>
      <c r="D666" s="5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4283</v>
      </c>
      <c r="M666" s="3" t="s">
        <v>4281</v>
      </c>
      <c r="N666">
        <v>779</v>
      </c>
    </row>
    <row r="667" spans="1:14" x14ac:dyDescent="0.3">
      <c r="A667" s="3" t="s">
        <v>679</v>
      </c>
      <c r="B667" s="4">
        <v>45048</v>
      </c>
      <c r="C667" s="3" t="s">
        <v>1877</v>
      </c>
      <c r="D667" s="5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3">
      <c r="A668" s="3" t="s">
        <v>680</v>
      </c>
      <c r="B668" s="4">
        <v>45535</v>
      </c>
      <c r="C668" s="3" t="s">
        <v>1878</v>
      </c>
      <c r="D668" s="5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4283</v>
      </c>
      <c r="M668" s="3" t="s">
        <v>4280</v>
      </c>
      <c r="N668">
        <v>1308.48</v>
      </c>
    </row>
    <row r="669" spans="1:14" x14ac:dyDescent="0.3">
      <c r="A669" s="3" t="s">
        <v>681</v>
      </c>
      <c r="B669" s="4">
        <v>45049</v>
      </c>
      <c r="C669" s="3" t="s">
        <v>1879</v>
      </c>
      <c r="D669" s="5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3">
      <c r="A670" s="3" t="s">
        <v>682</v>
      </c>
      <c r="B670" s="4">
        <v>45478</v>
      </c>
      <c r="C670" s="3" t="s">
        <v>1880</v>
      </c>
      <c r="D670" s="5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3">
      <c r="A671" s="3" t="s">
        <v>683</v>
      </c>
      <c r="B671" s="4">
        <v>44962</v>
      </c>
      <c r="C671" s="3" t="s">
        <v>1881</v>
      </c>
      <c r="D671" s="5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4283</v>
      </c>
      <c r="M671" s="3" t="s">
        <v>4279</v>
      </c>
      <c r="N671">
        <v>257</v>
      </c>
    </row>
    <row r="672" spans="1:14" x14ac:dyDescent="0.3">
      <c r="A672" s="3" t="s">
        <v>684</v>
      </c>
      <c r="B672" s="4">
        <v>45400</v>
      </c>
      <c r="C672" s="3" t="s">
        <v>1882</v>
      </c>
      <c r="D672" s="5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3">
      <c r="A673" s="3" t="s">
        <v>685</v>
      </c>
      <c r="B673" s="4">
        <v>45092</v>
      </c>
      <c r="C673" s="3" t="s">
        <v>1883</v>
      </c>
      <c r="D673" s="5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3">
      <c r="A674" s="3" t="s">
        <v>686</v>
      </c>
      <c r="B674" s="4">
        <v>45055</v>
      </c>
      <c r="C674" s="3" t="s">
        <v>1884</v>
      </c>
      <c r="D674" s="5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3">
      <c r="A675" s="3" t="s">
        <v>687</v>
      </c>
      <c r="B675" s="4">
        <v>44978</v>
      </c>
      <c r="C675" s="3" t="s">
        <v>1885</v>
      </c>
      <c r="D675" s="5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3">
      <c r="A676" s="3" t="s">
        <v>688</v>
      </c>
      <c r="B676" s="4">
        <v>45300</v>
      </c>
      <c r="C676" s="3" t="s">
        <v>1886</v>
      </c>
      <c r="D676" s="5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3">
      <c r="A677" s="3" t="s">
        <v>689</v>
      </c>
      <c r="B677" s="4">
        <v>45510</v>
      </c>
      <c r="C677" s="3" t="s">
        <v>1887</v>
      </c>
      <c r="D677" s="5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4283</v>
      </c>
      <c r="M677" s="3" t="s">
        <v>4280</v>
      </c>
      <c r="N677">
        <v>1026.06</v>
      </c>
    </row>
    <row r="678" spans="1:14" x14ac:dyDescent="0.3">
      <c r="A678" s="3" t="s">
        <v>690</v>
      </c>
      <c r="B678" s="4">
        <v>45831</v>
      </c>
      <c r="C678" s="3" t="s">
        <v>1888</v>
      </c>
      <c r="D678" s="5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3">
      <c r="A679" s="3" t="s">
        <v>691</v>
      </c>
      <c r="B679" s="4">
        <v>45750</v>
      </c>
      <c r="C679" s="3" t="s">
        <v>1889</v>
      </c>
      <c r="D679" s="5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3">
      <c r="A680" s="3" t="s">
        <v>692</v>
      </c>
      <c r="B680" s="4">
        <v>45620</v>
      </c>
      <c r="C680" s="3" t="s">
        <v>1890</v>
      </c>
      <c r="D680" s="5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3">
      <c r="A681" s="3" t="s">
        <v>693</v>
      </c>
      <c r="B681" s="4">
        <v>44959</v>
      </c>
      <c r="C681" s="3" t="s">
        <v>1891</v>
      </c>
      <c r="D681" s="5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3">
      <c r="A682" s="3" t="s">
        <v>694</v>
      </c>
      <c r="B682" s="4">
        <v>45165</v>
      </c>
      <c r="C682" s="3" t="s">
        <v>1892</v>
      </c>
      <c r="D682" s="5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4283</v>
      </c>
      <c r="M682" s="3" t="s">
        <v>4281</v>
      </c>
      <c r="N682">
        <v>1390.17</v>
      </c>
    </row>
    <row r="683" spans="1:14" x14ac:dyDescent="0.3">
      <c r="A683" s="3" t="s">
        <v>695</v>
      </c>
      <c r="B683" s="4">
        <v>45321</v>
      </c>
      <c r="C683" s="3" t="s">
        <v>1893</v>
      </c>
      <c r="D683" s="5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4283</v>
      </c>
      <c r="M683" s="3" t="s">
        <v>4280</v>
      </c>
      <c r="N683">
        <v>155.27000000000001</v>
      </c>
    </row>
    <row r="684" spans="1:14" x14ac:dyDescent="0.3">
      <c r="A684" s="3" t="s">
        <v>696</v>
      </c>
      <c r="B684" s="4">
        <v>45130</v>
      </c>
      <c r="C684" s="3" t="s">
        <v>1894</v>
      </c>
      <c r="D684" s="5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3">
      <c r="A685" s="3" t="s">
        <v>697</v>
      </c>
      <c r="B685" s="4">
        <v>45795</v>
      </c>
      <c r="C685" s="3" t="s">
        <v>1895</v>
      </c>
      <c r="D685" s="5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3">
      <c r="A686" s="3" t="s">
        <v>698</v>
      </c>
      <c r="B686" s="4">
        <v>45557</v>
      </c>
      <c r="C686" s="3" t="s">
        <v>1896</v>
      </c>
      <c r="D686" s="5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4283</v>
      </c>
      <c r="M686" s="3" t="s">
        <v>4280</v>
      </c>
      <c r="N686">
        <v>139.36000000000001</v>
      </c>
    </row>
    <row r="687" spans="1:14" x14ac:dyDescent="0.3">
      <c r="A687" s="3" t="s">
        <v>699</v>
      </c>
      <c r="B687" s="4">
        <v>45695</v>
      </c>
      <c r="C687" s="3" t="s">
        <v>1897</v>
      </c>
      <c r="D687" s="5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3">
      <c r="A688" s="3" t="s">
        <v>700</v>
      </c>
      <c r="B688" s="4">
        <v>45208</v>
      </c>
      <c r="C688" s="3" t="s">
        <v>1898</v>
      </c>
      <c r="D688" s="5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3">
      <c r="A689" s="3" t="s">
        <v>701</v>
      </c>
      <c r="B689" s="4">
        <v>45182</v>
      </c>
      <c r="C689" s="3" t="s">
        <v>1899</v>
      </c>
      <c r="D689" s="5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3">
      <c r="A690" s="3" t="s">
        <v>702</v>
      </c>
      <c r="B690" s="4">
        <v>45357</v>
      </c>
      <c r="C690" s="3" t="s">
        <v>1900</v>
      </c>
      <c r="D690" s="5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3">
      <c r="A691" s="3" t="s">
        <v>703</v>
      </c>
      <c r="B691" s="4">
        <v>45167</v>
      </c>
      <c r="C691" s="3" t="s">
        <v>1901</v>
      </c>
      <c r="D691" s="5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4283</v>
      </c>
      <c r="M691" s="3" t="s">
        <v>4281</v>
      </c>
      <c r="N691">
        <v>889.68</v>
      </c>
    </row>
    <row r="692" spans="1:14" x14ac:dyDescent="0.3">
      <c r="A692" s="3" t="s">
        <v>704</v>
      </c>
      <c r="B692" s="4">
        <v>45485</v>
      </c>
      <c r="C692" s="3" t="s">
        <v>1902</v>
      </c>
      <c r="D692" s="5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4283</v>
      </c>
      <c r="M692" s="3" t="s">
        <v>4278</v>
      </c>
      <c r="N692">
        <v>24.48</v>
      </c>
    </row>
    <row r="693" spans="1:14" x14ac:dyDescent="0.3">
      <c r="A693" s="3" t="s">
        <v>705</v>
      </c>
      <c r="B693" s="4">
        <v>45620</v>
      </c>
      <c r="C693" s="3" t="s">
        <v>1903</v>
      </c>
      <c r="D693" s="5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4283</v>
      </c>
      <c r="M693" s="3" t="s">
        <v>4282</v>
      </c>
      <c r="N693">
        <v>717.24</v>
      </c>
    </row>
    <row r="694" spans="1:14" x14ac:dyDescent="0.3">
      <c r="A694" s="3" t="s">
        <v>706</v>
      </c>
      <c r="B694" s="4">
        <v>44949</v>
      </c>
      <c r="C694" s="3" t="s">
        <v>1904</v>
      </c>
      <c r="D694" s="5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3">
      <c r="A695" s="3" t="s">
        <v>707</v>
      </c>
      <c r="B695" s="4">
        <v>45728</v>
      </c>
      <c r="C695" s="3" t="s">
        <v>1905</v>
      </c>
      <c r="D695" s="5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4283</v>
      </c>
      <c r="M695" s="3" t="s">
        <v>4279</v>
      </c>
      <c r="N695">
        <v>176.58</v>
      </c>
    </row>
    <row r="696" spans="1:14" x14ac:dyDescent="0.3">
      <c r="A696" s="3" t="s">
        <v>708</v>
      </c>
      <c r="B696" s="4">
        <v>45201</v>
      </c>
      <c r="C696" s="3" t="s">
        <v>1906</v>
      </c>
      <c r="D696" s="5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3">
      <c r="A697" s="3" t="s">
        <v>709</v>
      </c>
      <c r="B697" s="4">
        <v>45619</v>
      </c>
      <c r="C697" s="3" t="s">
        <v>1907</v>
      </c>
      <c r="D697" s="5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3">
      <c r="A698" s="3" t="s">
        <v>710</v>
      </c>
      <c r="B698" s="4">
        <v>45109</v>
      </c>
      <c r="C698" s="3" t="s">
        <v>1908</v>
      </c>
      <c r="D698" s="5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3">
      <c r="A699" s="3" t="s">
        <v>711</v>
      </c>
      <c r="B699" s="4">
        <v>45692</v>
      </c>
      <c r="C699" s="3" t="s">
        <v>1909</v>
      </c>
      <c r="D699" s="5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3">
      <c r="A700" s="3" t="s">
        <v>712</v>
      </c>
      <c r="B700" s="4">
        <v>44930</v>
      </c>
      <c r="C700" s="3" t="s">
        <v>1910</v>
      </c>
      <c r="D700" s="5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3">
      <c r="A701" s="3" t="s">
        <v>713</v>
      </c>
      <c r="B701" s="4">
        <v>45243</v>
      </c>
      <c r="C701" s="3" t="s">
        <v>1911</v>
      </c>
      <c r="D701" s="5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4283</v>
      </c>
      <c r="M701" s="3" t="s">
        <v>4281</v>
      </c>
      <c r="N701">
        <v>1842.45</v>
      </c>
    </row>
    <row r="702" spans="1:14" x14ac:dyDescent="0.3">
      <c r="A702" s="3" t="s">
        <v>714</v>
      </c>
      <c r="B702" s="4">
        <v>45560</v>
      </c>
      <c r="C702" s="3" t="s">
        <v>1912</v>
      </c>
      <c r="D702" s="5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3">
      <c r="A703" s="3" t="s">
        <v>715</v>
      </c>
      <c r="B703" s="4">
        <v>45466</v>
      </c>
      <c r="C703" s="3" t="s">
        <v>1913</v>
      </c>
      <c r="D703" s="5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3">
      <c r="A704" s="3" t="s">
        <v>716</v>
      </c>
      <c r="B704" s="4">
        <v>45452</v>
      </c>
      <c r="C704" s="3" t="s">
        <v>1914</v>
      </c>
      <c r="D704" s="5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4283</v>
      </c>
      <c r="M704" s="3" t="s">
        <v>4280</v>
      </c>
      <c r="N704">
        <v>1687.65</v>
      </c>
    </row>
    <row r="705" spans="1:14" x14ac:dyDescent="0.3">
      <c r="A705" s="3" t="s">
        <v>717</v>
      </c>
      <c r="B705" s="4">
        <v>45007</v>
      </c>
      <c r="C705" s="3" t="s">
        <v>1915</v>
      </c>
      <c r="D705" s="5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3">
      <c r="A706" s="3" t="s">
        <v>718</v>
      </c>
      <c r="B706" s="4">
        <v>45080</v>
      </c>
      <c r="C706" s="3" t="s">
        <v>1916</v>
      </c>
      <c r="D706" s="5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3">
      <c r="A707" s="3" t="s">
        <v>719</v>
      </c>
      <c r="B707" s="4">
        <v>45746</v>
      </c>
      <c r="C707" s="3" t="s">
        <v>1917</v>
      </c>
      <c r="D707" s="5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3">
      <c r="A708" s="3" t="s">
        <v>720</v>
      </c>
      <c r="B708" s="4">
        <v>45718</v>
      </c>
      <c r="C708" s="3" t="s">
        <v>1918</v>
      </c>
      <c r="D708" s="5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3">
      <c r="A709" s="3" t="s">
        <v>721</v>
      </c>
      <c r="B709" s="4">
        <v>45597</v>
      </c>
      <c r="C709" s="3" t="s">
        <v>1919</v>
      </c>
      <c r="D709" s="5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3">
      <c r="A710" s="3" t="s">
        <v>722</v>
      </c>
      <c r="B710" s="4">
        <v>45720</v>
      </c>
      <c r="C710" s="3" t="s">
        <v>1920</v>
      </c>
      <c r="D710" s="5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3">
      <c r="A711" s="3" t="s">
        <v>723</v>
      </c>
      <c r="B711" s="4">
        <v>45633</v>
      </c>
      <c r="C711" s="3" t="s">
        <v>1921</v>
      </c>
      <c r="D711" s="5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3">
      <c r="A712" s="3" t="s">
        <v>724</v>
      </c>
      <c r="B712" s="4">
        <v>45495</v>
      </c>
      <c r="C712" s="3" t="s">
        <v>1922</v>
      </c>
      <c r="D712" s="5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4283</v>
      </c>
      <c r="M712" s="3" t="s">
        <v>4282</v>
      </c>
      <c r="N712">
        <v>107.7</v>
      </c>
    </row>
    <row r="713" spans="1:14" x14ac:dyDescent="0.3">
      <c r="A713" s="3" t="s">
        <v>725</v>
      </c>
      <c r="B713" s="4">
        <v>45477</v>
      </c>
      <c r="C713" s="3" t="s">
        <v>1923</v>
      </c>
      <c r="D713" s="5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3">
      <c r="A714" s="3" t="s">
        <v>726</v>
      </c>
      <c r="B714" s="4">
        <v>45300</v>
      </c>
      <c r="C714" s="3" t="s">
        <v>1771</v>
      </c>
      <c r="D714" s="5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3">
      <c r="A715" s="3" t="s">
        <v>727</v>
      </c>
      <c r="B715" s="4">
        <v>45829</v>
      </c>
      <c r="C715" s="3" t="s">
        <v>1924</v>
      </c>
      <c r="D715" s="5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3">
      <c r="A716" s="3" t="s">
        <v>728</v>
      </c>
      <c r="B716" s="4">
        <v>45037</v>
      </c>
      <c r="C716" s="3" t="s">
        <v>1925</v>
      </c>
      <c r="D716" s="5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3">
      <c r="A717" s="3" t="s">
        <v>729</v>
      </c>
      <c r="B717" s="4">
        <v>45499</v>
      </c>
      <c r="C717" s="3" t="s">
        <v>1926</v>
      </c>
      <c r="D717" s="5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3">
      <c r="A718" s="3" t="s">
        <v>730</v>
      </c>
      <c r="B718" s="4">
        <v>45456</v>
      </c>
      <c r="C718" s="3" t="s">
        <v>1927</v>
      </c>
      <c r="D718" s="5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3">
      <c r="A719" s="3" t="s">
        <v>731</v>
      </c>
      <c r="B719" s="4">
        <v>45215</v>
      </c>
      <c r="C719" s="3" t="s">
        <v>1928</v>
      </c>
      <c r="D719" s="5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3">
      <c r="A720" s="3" t="s">
        <v>732</v>
      </c>
      <c r="B720" s="4">
        <v>45024</v>
      </c>
      <c r="C720" s="3" t="s">
        <v>1929</v>
      </c>
      <c r="D720" s="5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3">
      <c r="A721" s="3" t="s">
        <v>733</v>
      </c>
      <c r="B721" s="4">
        <v>45312</v>
      </c>
      <c r="C721" s="3" t="s">
        <v>1930</v>
      </c>
      <c r="D721" s="5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3">
      <c r="A722" s="3" t="s">
        <v>734</v>
      </c>
      <c r="B722" s="4">
        <v>45190</v>
      </c>
      <c r="C722" s="3" t="s">
        <v>1931</v>
      </c>
      <c r="D722" s="5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3">
      <c r="A723" s="3" t="s">
        <v>735</v>
      </c>
      <c r="B723" s="4">
        <v>45369</v>
      </c>
      <c r="C723" s="3" t="s">
        <v>1932</v>
      </c>
      <c r="D723" s="5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4283</v>
      </c>
      <c r="M723" s="3" t="s">
        <v>4280</v>
      </c>
      <c r="N723">
        <v>237.18</v>
      </c>
    </row>
    <row r="724" spans="1:14" x14ac:dyDescent="0.3">
      <c r="A724" s="3" t="s">
        <v>736</v>
      </c>
      <c r="B724" s="4">
        <v>45611</v>
      </c>
      <c r="C724" s="3" t="s">
        <v>1933</v>
      </c>
      <c r="D724" s="5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3">
      <c r="A725" s="3" t="s">
        <v>737</v>
      </c>
      <c r="B725" s="4">
        <v>45269</v>
      </c>
      <c r="C725" s="3" t="s">
        <v>1934</v>
      </c>
      <c r="D725" s="5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3">
      <c r="A726" s="3" t="s">
        <v>738</v>
      </c>
      <c r="B726" s="4">
        <v>45583</v>
      </c>
      <c r="C726" s="3" t="s">
        <v>1935</v>
      </c>
      <c r="D726" s="5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3">
      <c r="A727" s="3" t="s">
        <v>739</v>
      </c>
      <c r="B727" s="4">
        <v>44997</v>
      </c>
      <c r="C727" s="3" t="s">
        <v>1936</v>
      </c>
      <c r="D727" s="5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4283</v>
      </c>
      <c r="M727" s="3" t="s">
        <v>4279</v>
      </c>
      <c r="N727">
        <v>389.7</v>
      </c>
    </row>
    <row r="728" spans="1:14" x14ac:dyDescent="0.3">
      <c r="A728" s="3" t="s">
        <v>740</v>
      </c>
      <c r="B728" s="4">
        <v>45590</v>
      </c>
      <c r="C728" s="3" t="s">
        <v>1937</v>
      </c>
      <c r="D728" s="5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3">
      <c r="A729" s="3" t="s">
        <v>741</v>
      </c>
      <c r="B729" s="4">
        <v>45564</v>
      </c>
      <c r="C729" s="3" t="s">
        <v>1938</v>
      </c>
      <c r="D729" s="5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3">
      <c r="A730" s="3" t="s">
        <v>742</v>
      </c>
      <c r="B730" s="4">
        <v>45502</v>
      </c>
      <c r="C730" s="3" t="s">
        <v>1939</v>
      </c>
      <c r="D730" s="5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3">
      <c r="A731" s="3" t="s">
        <v>743</v>
      </c>
      <c r="B731" s="4">
        <v>45177</v>
      </c>
      <c r="C731" s="3" t="s">
        <v>1940</v>
      </c>
      <c r="D731" s="5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3">
      <c r="A732" s="3" t="s">
        <v>744</v>
      </c>
      <c r="B732" s="4">
        <v>45710</v>
      </c>
      <c r="C732" s="3" t="s">
        <v>1941</v>
      </c>
      <c r="D732" s="5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3">
      <c r="A733" s="3" t="s">
        <v>745</v>
      </c>
      <c r="B733" s="4">
        <v>45450</v>
      </c>
      <c r="C733" s="3" t="s">
        <v>1942</v>
      </c>
      <c r="D733" s="5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4283</v>
      </c>
      <c r="M733" s="3" t="s">
        <v>4280</v>
      </c>
      <c r="N733">
        <v>2922.3</v>
      </c>
    </row>
    <row r="734" spans="1:14" x14ac:dyDescent="0.3">
      <c r="A734" s="3" t="s">
        <v>746</v>
      </c>
      <c r="B734" s="4">
        <v>45723</v>
      </c>
      <c r="C734" s="3" t="s">
        <v>1943</v>
      </c>
      <c r="D734" s="5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4283</v>
      </c>
      <c r="M734" s="3" t="s">
        <v>4282</v>
      </c>
      <c r="N734">
        <v>132.05000000000001</v>
      </c>
    </row>
    <row r="735" spans="1:14" x14ac:dyDescent="0.3">
      <c r="A735" s="3" t="s">
        <v>747</v>
      </c>
      <c r="B735" s="4">
        <v>45264</v>
      </c>
      <c r="C735" s="3" t="s">
        <v>1944</v>
      </c>
      <c r="D735" s="5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3">
      <c r="A736" s="3" t="s">
        <v>748</v>
      </c>
      <c r="B736" s="4">
        <v>45314</v>
      </c>
      <c r="C736" s="3" t="s">
        <v>1945</v>
      </c>
      <c r="D736" s="5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3">
      <c r="A737" s="3" t="s">
        <v>749</v>
      </c>
      <c r="B737" s="4">
        <v>45471</v>
      </c>
      <c r="C737" s="3" t="s">
        <v>1946</v>
      </c>
      <c r="D737" s="5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4283</v>
      </c>
      <c r="M737" s="3" t="s">
        <v>4280</v>
      </c>
      <c r="N737">
        <v>176.28</v>
      </c>
    </row>
    <row r="738" spans="1:14" x14ac:dyDescent="0.3">
      <c r="A738" s="3" t="s">
        <v>750</v>
      </c>
      <c r="B738" s="4">
        <v>45331</v>
      </c>
      <c r="C738" s="3" t="s">
        <v>1947</v>
      </c>
      <c r="D738" s="5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3">
      <c r="A739" s="3" t="s">
        <v>751</v>
      </c>
      <c r="B739" s="4">
        <v>45294</v>
      </c>
      <c r="C739" s="3" t="s">
        <v>1948</v>
      </c>
      <c r="D739" s="5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3">
      <c r="A740" s="3" t="s">
        <v>752</v>
      </c>
      <c r="B740" s="4">
        <v>45812</v>
      </c>
      <c r="C740" s="3" t="s">
        <v>1949</v>
      </c>
      <c r="D740" s="5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3">
      <c r="A741" s="3" t="s">
        <v>753</v>
      </c>
      <c r="B741" s="4">
        <v>45456</v>
      </c>
      <c r="C741" s="3" t="s">
        <v>1950</v>
      </c>
      <c r="D741" s="5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3">
      <c r="A742" s="3" t="s">
        <v>754</v>
      </c>
      <c r="B742" s="4">
        <v>45493</v>
      </c>
      <c r="C742" s="3" t="s">
        <v>1951</v>
      </c>
      <c r="D742" s="5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4283</v>
      </c>
      <c r="M742" s="3" t="s">
        <v>4282</v>
      </c>
      <c r="N742">
        <v>754.94</v>
      </c>
    </row>
    <row r="743" spans="1:14" x14ac:dyDescent="0.3">
      <c r="A743" s="3" t="s">
        <v>755</v>
      </c>
      <c r="B743" s="4">
        <v>45680</v>
      </c>
      <c r="C743" s="3" t="s">
        <v>1952</v>
      </c>
      <c r="D743" s="5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4283</v>
      </c>
      <c r="M743" s="3" t="s">
        <v>4279</v>
      </c>
      <c r="N743">
        <v>1663.2</v>
      </c>
    </row>
    <row r="744" spans="1:14" x14ac:dyDescent="0.3">
      <c r="A744" s="3" t="s">
        <v>756</v>
      </c>
      <c r="B744" s="4">
        <v>45626</v>
      </c>
      <c r="C744" s="3" t="s">
        <v>1953</v>
      </c>
      <c r="D744" s="5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3">
      <c r="A745" s="3" t="s">
        <v>757</v>
      </c>
      <c r="B745" s="4">
        <v>45565</v>
      </c>
      <c r="C745" s="3" t="s">
        <v>1954</v>
      </c>
      <c r="D745" s="5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3">
      <c r="A746" s="3" t="s">
        <v>758</v>
      </c>
      <c r="B746" s="4">
        <v>45455</v>
      </c>
      <c r="C746" s="3" t="s">
        <v>1955</v>
      </c>
      <c r="D746" s="5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3">
      <c r="A747" s="3" t="s">
        <v>759</v>
      </c>
      <c r="B747" s="4">
        <v>44987</v>
      </c>
      <c r="C747" s="3" t="s">
        <v>1956</v>
      </c>
      <c r="D747" s="5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3">
      <c r="A748" s="3" t="s">
        <v>760</v>
      </c>
      <c r="B748" s="4">
        <v>45712</v>
      </c>
      <c r="C748" s="3" t="s">
        <v>1957</v>
      </c>
      <c r="D748" s="5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3">
      <c r="A749" s="3" t="s">
        <v>761</v>
      </c>
      <c r="B749" s="4">
        <v>45728</v>
      </c>
      <c r="C749" s="3" t="s">
        <v>1958</v>
      </c>
      <c r="D749" s="5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3">
      <c r="A750" s="3" t="s">
        <v>762</v>
      </c>
      <c r="B750" s="4">
        <v>45488</v>
      </c>
      <c r="C750" s="3" t="s">
        <v>1959</v>
      </c>
      <c r="D750" s="5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3">
      <c r="A751" s="3" t="s">
        <v>763</v>
      </c>
      <c r="B751" s="4">
        <v>45760</v>
      </c>
      <c r="C751" s="3" t="s">
        <v>1960</v>
      </c>
      <c r="D751" s="5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3">
      <c r="A752" s="3" t="s">
        <v>764</v>
      </c>
      <c r="B752" s="4">
        <v>44940</v>
      </c>
      <c r="C752" s="3" t="s">
        <v>1961</v>
      </c>
      <c r="D752" s="5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3">
      <c r="A753" s="3" t="s">
        <v>765</v>
      </c>
      <c r="B753" s="4">
        <v>44950</v>
      </c>
      <c r="C753" s="3" t="s">
        <v>1962</v>
      </c>
      <c r="D753" s="5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3">
      <c r="A754" s="3" t="s">
        <v>766</v>
      </c>
      <c r="B754" s="4">
        <v>45568</v>
      </c>
      <c r="C754" s="3" t="s">
        <v>1963</v>
      </c>
      <c r="D754" s="5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3">
      <c r="A755" s="3" t="s">
        <v>767</v>
      </c>
      <c r="B755" s="4">
        <v>45406</v>
      </c>
      <c r="C755" s="3" t="s">
        <v>1964</v>
      </c>
      <c r="D755" s="5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3">
      <c r="A756" s="3" t="s">
        <v>768</v>
      </c>
      <c r="B756" s="4">
        <v>45808</v>
      </c>
      <c r="C756" s="3" t="s">
        <v>1965</v>
      </c>
      <c r="D756" s="5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3">
      <c r="A757" s="3" t="s">
        <v>769</v>
      </c>
      <c r="B757" s="4">
        <v>45090</v>
      </c>
      <c r="C757" s="3" t="s">
        <v>1966</v>
      </c>
      <c r="D757" s="5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4283</v>
      </c>
      <c r="M757" s="3" t="s">
        <v>4280</v>
      </c>
      <c r="N757">
        <v>1010.13</v>
      </c>
    </row>
    <row r="758" spans="1:14" x14ac:dyDescent="0.3">
      <c r="A758" s="3" t="s">
        <v>770</v>
      </c>
      <c r="B758" s="4">
        <v>45470</v>
      </c>
      <c r="C758" s="3" t="s">
        <v>1967</v>
      </c>
      <c r="D758" s="5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4283</v>
      </c>
      <c r="M758" s="3" t="s">
        <v>4282</v>
      </c>
      <c r="N758">
        <v>283.69</v>
      </c>
    </row>
    <row r="759" spans="1:14" x14ac:dyDescent="0.3">
      <c r="A759" s="3" t="s">
        <v>771</v>
      </c>
      <c r="B759" s="4">
        <v>45344</v>
      </c>
      <c r="C759" s="3" t="s">
        <v>1968</v>
      </c>
      <c r="D759" s="5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3">
      <c r="A760" s="3" t="s">
        <v>772</v>
      </c>
      <c r="B760" s="4">
        <v>45011</v>
      </c>
      <c r="C760" s="3" t="s">
        <v>1969</v>
      </c>
      <c r="D760" s="5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3">
      <c r="A761" s="3" t="s">
        <v>773</v>
      </c>
      <c r="B761" s="4">
        <v>45131</v>
      </c>
      <c r="C761" s="3" t="s">
        <v>1970</v>
      </c>
      <c r="D761" s="5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3">
      <c r="A762" s="3" t="s">
        <v>774</v>
      </c>
      <c r="B762" s="4">
        <v>45706</v>
      </c>
      <c r="C762" s="3" t="s">
        <v>1971</v>
      </c>
      <c r="D762" s="5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4283</v>
      </c>
      <c r="M762" s="3" t="s">
        <v>4282</v>
      </c>
      <c r="N762">
        <v>39.56</v>
      </c>
    </row>
    <row r="763" spans="1:14" x14ac:dyDescent="0.3">
      <c r="A763" s="3" t="s">
        <v>775</v>
      </c>
      <c r="B763" s="4">
        <v>45079</v>
      </c>
      <c r="C763" s="3" t="s">
        <v>1972</v>
      </c>
      <c r="D763" s="5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4283</v>
      </c>
      <c r="M763" s="3" t="s">
        <v>4282</v>
      </c>
      <c r="N763">
        <v>151.04</v>
      </c>
    </row>
    <row r="764" spans="1:14" x14ac:dyDescent="0.3">
      <c r="A764" s="3" t="s">
        <v>776</v>
      </c>
      <c r="B764" s="4">
        <v>45552</v>
      </c>
      <c r="C764" s="3" t="s">
        <v>1973</v>
      </c>
      <c r="D764" s="5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3">
      <c r="A765" s="3" t="s">
        <v>777</v>
      </c>
      <c r="B765" s="4">
        <v>45022</v>
      </c>
      <c r="C765" s="3" t="s">
        <v>1974</v>
      </c>
      <c r="D765" s="5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3">
      <c r="A766" s="3" t="s">
        <v>778</v>
      </c>
      <c r="B766" s="4">
        <v>45361</v>
      </c>
      <c r="C766" s="3" t="s">
        <v>1975</v>
      </c>
      <c r="D766" s="5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3">
      <c r="A767" s="3" t="s">
        <v>779</v>
      </c>
      <c r="B767" s="4">
        <v>45205</v>
      </c>
      <c r="C767" s="3" t="s">
        <v>1976</v>
      </c>
      <c r="D767" s="5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3">
      <c r="A768" s="3" t="s">
        <v>780</v>
      </c>
      <c r="B768" s="4">
        <v>44948</v>
      </c>
      <c r="C768" s="3" t="s">
        <v>1977</v>
      </c>
      <c r="D768" s="5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3">
      <c r="A769" s="3" t="s">
        <v>781</v>
      </c>
      <c r="B769" s="4">
        <v>45765</v>
      </c>
      <c r="C769" s="3" t="s">
        <v>1978</v>
      </c>
      <c r="D769" s="5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4283</v>
      </c>
      <c r="M769" s="3" t="s">
        <v>4278</v>
      </c>
      <c r="N769">
        <v>646.44000000000005</v>
      </c>
    </row>
    <row r="770" spans="1:14" x14ac:dyDescent="0.3">
      <c r="A770" s="3" t="s">
        <v>782</v>
      </c>
      <c r="B770" s="4">
        <v>45173</v>
      </c>
      <c r="C770" s="3" t="s">
        <v>1979</v>
      </c>
      <c r="D770" s="5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3">
      <c r="A771" s="3" t="s">
        <v>783</v>
      </c>
      <c r="B771" s="4">
        <v>45113</v>
      </c>
      <c r="C771" s="3" t="s">
        <v>1980</v>
      </c>
      <c r="D771" s="5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4283</v>
      </c>
      <c r="M771" s="3" t="s">
        <v>4280</v>
      </c>
      <c r="N771">
        <v>2714.2</v>
      </c>
    </row>
    <row r="772" spans="1:14" x14ac:dyDescent="0.3">
      <c r="A772" s="3" t="s">
        <v>784</v>
      </c>
      <c r="B772" s="4">
        <v>45333</v>
      </c>
      <c r="C772" s="3" t="s">
        <v>1981</v>
      </c>
      <c r="D772" s="5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4283</v>
      </c>
      <c r="M772" s="3" t="s">
        <v>4282</v>
      </c>
      <c r="N772">
        <v>314.38</v>
      </c>
    </row>
    <row r="773" spans="1:14" x14ac:dyDescent="0.3">
      <c r="A773" s="3" t="s">
        <v>785</v>
      </c>
      <c r="B773" s="4">
        <v>45455</v>
      </c>
      <c r="C773" s="3" t="s">
        <v>1982</v>
      </c>
      <c r="D773" s="5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3">
      <c r="A774" s="3" t="s">
        <v>786</v>
      </c>
      <c r="B774" s="4">
        <v>45501</v>
      </c>
      <c r="C774" s="3" t="s">
        <v>1983</v>
      </c>
      <c r="D774" s="5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4283</v>
      </c>
      <c r="M774" s="3" t="s">
        <v>4278</v>
      </c>
      <c r="N774">
        <v>604.87</v>
      </c>
    </row>
    <row r="775" spans="1:14" x14ac:dyDescent="0.3">
      <c r="A775" s="3" t="s">
        <v>787</v>
      </c>
      <c r="B775" s="4">
        <v>45836</v>
      </c>
      <c r="C775" s="3" t="s">
        <v>1984</v>
      </c>
      <c r="D775" s="5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4283</v>
      </c>
      <c r="M775" s="3" t="s">
        <v>4281</v>
      </c>
      <c r="N775">
        <v>1024.6600000000001</v>
      </c>
    </row>
    <row r="776" spans="1:14" x14ac:dyDescent="0.3">
      <c r="A776" s="3" t="s">
        <v>788</v>
      </c>
      <c r="B776" s="4">
        <v>45762</v>
      </c>
      <c r="C776" s="3" t="s">
        <v>1985</v>
      </c>
      <c r="D776" s="5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3">
      <c r="A777" s="3" t="s">
        <v>789</v>
      </c>
      <c r="B777" s="4">
        <v>44989</v>
      </c>
      <c r="C777" s="3" t="s">
        <v>1986</v>
      </c>
      <c r="D777" s="5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4283</v>
      </c>
      <c r="M777" s="3" t="s">
        <v>4282</v>
      </c>
      <c r="N777">
        <v>1250.44</v>
      </c>
    </row>
    <row r="778" spans="1:14" x14ac:dyDescent="0.3">
      <c r="A778" s="3" t="s">
        <v>790</v>
      </c>
      <c r="B778" s="4">
        <v>45159</v>
      </c>
      <c r="C778" s="3" t="s">
        <v>1987</v>
      </c>
      <c r="D778" s="5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3">
      <c r="A779" s="3" t="s">
        <v>791</v>
      </c>
      <c r="B779" s="4">
        <v>45737</v>
      </c>
      <c r="C779" s="3" t="s">
        <v>1988</v>
      </c>
      <c r="D779" s="5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4283</v>
      </c>
      <c r="M779" s="3" t="s">
        <v>4281</v>
      </c>
      <c r="N779">
        <v>322.45</v>
      </c>
    </row>
    <row r="780" spans="1:14" x14ac:dyDescent="0.3">
      <c r="A780" s="3" t="s">
        <v>792</v>
      </c>
      <c r="B780" s="4">
        <v>45044</v>
      </c>
      <c r="C780" s="3" t="s">
        <v>1989</v>
      </c>
      <c r="D780" s="5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3">
      <c r="A781" s="3" t="s">
        <v>793</v>
      </c>
      <c r="B781" s="4">
        <v>45261</v>
      </c>
      <c r="C781" s="3" t="s">
        <v>1990</v>
      </c>
      <c r="D781" s="5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3">
      <c r="A782" s="3" t="s">
        <v>794</v>
      </c>
      <c r="B782" s="4">
        <v>45382</v>
      </c>
      <c r="C782" s="3" t="s">
        <v>1991</v>
      </c>
      <c r="D782" s="5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3">
      <c r="A783" s="3" t="s">
        <v>795</v>
      </c>
      <c r="B783" s="4">
        <v>45301</v>
      </c>
      <c r="C783" s="3" t="s">
        <v>1992</v>
      </c>
      <c r="D783" s="5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3">
      <c r="A784" s="3" t="s">
        <v>796</v>
      </c>
      <c r="B784" s="4">
        <v>45515</v>
      </c>
      <c r="C784" s="3" t="s">
        <v>1993</v>
      </c>
      <c r="D784" s="5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3">
      <c r="A785" s="3" t="s">
        <v>797</v>
      </c>
      <c r="B785" s="4">
        <v>45803</v>
      </c>
      <c r="C785" s="3" t="s">
        <v>1994</v>
      </c>
      <c r="D785" s="5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3">
      <c r="A786" s="3" t="s">
        <v>798</v>
      </c>
      <c r="B786" s="4">
        <v>45793</v>
      </c>
      <c r="C786" s="3" t="s">
        <v>1995</v>
      </c>
      <c r="D786" s="5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3">
      <c r="A787" s="3" t="s">
        <v>799</v>
      </c>
      <c r="B787" s="4">
        <v>45136</v>
      </c>
      <c r="C787" s="3" t="s">
        <v>1996</v>
      </c>
      <c r="D787" s="5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3">
      <c r="A788" s="3" t="s">
        <v>800</v>
      </c>
      <c r="B788" s="4">
        <v>45161</v>
      </c>
      <c r="C788" s="3" t="s">
        <v>1997</v>
      </c>
      <c r="D788" s="5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4283</v>
      </c>
      <c r="M788" s="3" t="s">
        <v>4279</v>
      </c>
      <c r="N788">
        <v>226.55</v>
      </c>
    </row>
    <row r="789" spans="1:14" x14ac:dyDescent="0.3">
      <c r="A789" s="3" t="s">
        <v>801</v>
      </c>
      <c r="B789" s="4">
        <v>45368</v>
      </c>
      <c r="C789" s="3" t="s">
        <v>1998</v>
      </c>
      <c r="D789" s="5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4283</v>
      </c>
      <c r="M789" s="3" t="s">
        <v>4282</v>
      </c>
      <c r="N789">
        <v>887.84</v>
      </c>
    </row>
    <row r="790" spans="1:14" x14ac:dyDescent="0.3">
      <c r="A790" s="3" t="s">
        <v>802</v>
      </c>
      <c r="B790" s="4">
        <v>45232</v>
      </c>
      <c r="C790" s="3" t="s">
        <v>1999</v>
      </c>
      <c r="D790" s="5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3">
      <c r="A791" s="3" t="s">
        <v>803</v>
      </c>
      <c r="B791" s="4">
        <v>45155</v>
      </c>
      <c r="C791" s="3" t="s">
        <v>2000</v>
      </c>
      <c r="D791" s="5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3">
      <c r="A792" s="3" t="s">
        <v>804</v>
      </c>
      <c r="B792" s="4">
        <v>45549</v>
      </c>
      <c r="C792" s="3" t="s">
        <v>2001</v>
      </c>
      <c r="D792" s="5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4283</v>
      </c>
      <c r="M792" s="3" t="s">
        <v>4282</v>
      </c>
      <c r="N792">
        <v>1671.56</v>
      </c>
    </row>
    <row r="793" spans="1:14" x14ac:dyDescent="0.3">
      <c r="A793" s="3" t="s">
        <v>805</v>
      </c>
      <c r="B793" s="4">
        <v>45304</v>
      </c>
      <c r="C793" s="3" t="s">
        <v>2002</v>
      </c>
      <c r="D793" s="5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4283</v>
      </c>
      <c r="M793" s="3" t="s">
        <v>4280</v>
      </c>
      <c r="N793">
        <v>1637.12</v>
      </c>
    </row>
    <row r="794" spans="1:14" x14ac:dyDescent="0.3">
      <c r="A794" s="3" t="s">
        <v>806</v>
      </c>
      <c r="B794" s="4">
        <v>45093</v>
      </c>
      <c r="C794" s="3" t="s">
        <v>2003</v>
      </c>
      <c r="D794" s="5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3">
      <c r="A795" s="3" t="s">
        <v>807</v>
      </c>
      <c r="B795" s="4">
        <v>45397</v>
      </c>
      <c r="C795" s="3" t="s">
        <v>2004</v>
      </c>
      <c r="D795" s="5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4283</v>
      </c>
      <c r="M795" s="3" t="s">
        <v>4279</v>
      </c>
      <c r="N795">
        <v>851.1</v>
      </c>
    </row>
    <row r="796" spans="1:14" x14ac:dyDescent="0.3">
      <c r="A796" s="3" t="s">
        <v>808</v>
      </c>
      <c r="B796" s="4">
        <v>44994</v>
      </c>
      <c r="C796" s="3" t="s">
        <v>2005</v>
      </c>
      <c r="D796" s="5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3">
      <c r="A797" s="3" t="s">
        <v>809</v>
      </c>
      <c r="B797" s="4">
        <v>45616</v>
      </c>
      <c r="C797" s="3" t="s">
        <v>2006</v>
      </c>
      <c r="D797" s="5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3">
      <c r="A798" s="3" t="s">
        <v>810</v>
      </c>
      <c r="B798" s="4">
        <v>45776</v>
      </c>
      <c r="C798" s="3" t="s">
        <v>2007</v>
      </c>
      <c r="D798" s="5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3">
      <c r="A799" s="3" t="s">
        <v>811</v>
      </c>
      <c r="B799" s="4">
        <v>44984</v>
      </c>
      <c r="C799" s="3" t="s">
        <v>2008</v>
      </c>
      <c r="D799" s="5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4283</v>
      </c>
      <c r="M799" s="3" t="s">
        <v>4281</v>
      </c>
      <c r="N799">
        <v>877.52</v>
      </c>
    </row>
    <row r="800" spans="1:14" x14ac:dyDescent="0.3">
      <c r="A800" s="3" t="s">
        <v>812</v>
      </c>
      <c r="B800" s="4">
        <v>45796</v>
      </c>
      <c r="C800" s="3" t="s">
        <v>2009</v>
      </c>
      <c r="D800" s="5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3">
      <c r="A801" s="3" t="s">
        <v>813</v>
      </c>
      <c r="B801" s="4">
        <v>45032</v>
      </c>
      <c r="C801" s="3" t="s">
        <v>2010</v>
      </c>
      <c r="D801" s="5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3">
      <c r="A802" s="3" t="s">
        <v>814</v>
      </c>
      <c r="B802" s="4">
        <v>45744</v>
      </c>
      <c r="C802" s="3" t="s">
        <v>2011</v>
      </c>
      <c r="D802" s="5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3">
      <c r="A803" s="3" t="s">
        <v>815</v>
      </c>
      <c r="B803" s="4">
        <v>45049</v>
      </c>
      <c r="C803" s="3" t="s">
        <v>1241</v>
      </c>
      <c r="D803" s="5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3">
      <c r="A804" s="3" t="s">
        <v>816</v>
      </c>
      <c r="B804" s="4">
        <v>45339</v>
      </c>
      <c r="C804" s="3" t="s">
        <v>2012</v>
      </c>
      <c r="D804" s="5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3">
      <c r="A805" s="3" t="s">
        <v>817</v>
      </c>
      <c r="B805" s="4">
        <v>45158</v>
      </c>
      <c r="C805" s="3" t="s">
        <v>2013</v>
      </c>
      <c r="D805" s="5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3">
      <c r="A806" s="3" t="s">
        <v>818</v>
      </c>
      <c r="B806" s="4">
        <v>45292</v>
      </c>
      <c r="C806" s="3" t="s">
        <v>2014</v>
      </c>
      <c r="D806" s="5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3">
      <c r="A807" s="3" t="s">
        <v>819</v>
      </c>
      <c r="B807" s="4">
        <v>45580</v>
      </c>
      <c r="C807" s="3" t="s">
        <v>2015</v>
      </c>
      <c r="D807" s="5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3">
      <c r="A808" s="3" t="s">
        <v>820</v>
      </c>
      <c r="B808" s="4">
        <v>45170</v>
      </c>
      <c r="C808" s="3" t="s">
        <v>2016</v>
      </c>
      <c r="D808" s="5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3">
      <c r="A809" s="3" t="s">
        <v>821</v>
      </c>
      <c r="B809" s="4">
        <v>45606</v>
      </c>
      <c r="C809" s="3" t="s">
        <v>2017</v>
      </c>
      <c r="D809" s="5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3">
      <c r="A810" s="3" t="s">
        <v>822</v>
      </c>
      <c r="B810" s="4">
        <v>45335</v>
      </c>
      <c r="C810" s="3" t="s">
        <v>2018</v>
      </c>
      <c r="D810" s="5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4283</v>
      </c>
      <c r="M810" s="3" t="s">
        <v>4282</v>
      </c>
      <c r="N810">
        <v>402.15</v>
      </c>
    </row>
    <row r="811" spans="1:14" x14ac:dyDescent="0.3">
      <c r="A811" s="3" t="s">
        <v>823</v>
      </c>
      <c r="B811" s="4">
        <v>45391</v>
      </c>
      <c r="C811" s="3" t="s">
        <v>2019</v>
      </c>
      <c r="D811" s="5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3">
      <c r="A812" s="3" t="s">
        <v>824</v>
      </c>
      <c r="B812" s="4">
        <v>45077</v>
      </c>
      <c r="C812" s="3" t="s">
        <v>2020</v>
      </c>
      <c r="D812" s="5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4283</v>
      </c>
      <c r="M812" s="3" t="s">
        <v>4279</v>
      </c>
      <c r="N812">
        <v>553.55999999999995</v>
      </c>
    </row>
    <row r="813" spans="1:14" x14ac:dyDescent="0.3">
      <c r="A813" s="3" t="s">
        <v>825</v>
      </c>
      <c r="B813" s="4">
        <v>45235</v>
      </c>
      <c r="C813" s="3" t="s">
        <v>2021</v>
      </c>
      <c r="D813" s="5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3">
      <c r="A814" s="3" t="s">
        <v>826</v>
      </c>
      <c r="B814" s="4">
        <v>45317</v>
      </c>
      <c r="C814" s="3" t="s">
        <v>2022</v>
      </c>
      <c r="D814" s="5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3">
      <c r="A815" s="3" t="s">
        <v>827</v>
      </c>
      <c r="B815" s="4">
        <v>45731</v>
      </c>
      <c r="C815" s="3" t="s">
        <v>2023</v>
      </c>
      <c r="D815" s="5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3">
      <c r="A816" s="3" t="s">
        <v>828</v>
      </c>
      <c r="B816" s="4">
        <v>45637</v>
      </c>
      <c r="C816" s="3" t="s">
        <v>2024</v>
      </c>
      <c r="D816" s="5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3">
      <c r="A817" s="3" t="s">
        <v>829</v>
      </c>
      <c r="B817" s="4">
        <v>45508</v>
      </c>
      <c r="C817" s="3" t="s">
        <v>2025</v>
      </c>
      <c r="D817" s="5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3">
      <c r="A818" s="3" t="s">
        <v>830</v>
      </c>
      <c r="B818" s="4">
        <v>45343</v>
      </c>
      <c r="C818" s="3" t="s">
        <v>2026</v>
      </c>
      <c r="D818" s="5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3">
      <c r="A819" s="3" t="s">
        <v>831</v>
      </c>
      <c r="B819" s="4">
        <v>45204</v>
      </c>
      <c r="C819" s="3" t="s">
        <v>2027</v>
      </c>
      <c r="D819" s="5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3">
      <c r="A820" s="3" t="s">
        <v>832</v>
      </c>
      <c r="B820" s="4">
        <v>44987</v>
      </c>
      <c r="C820" s="3" t="s">
        <v>2028</v>
      </c>
      <c r="D820" s="5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3">
      <c r="A821" s="3" t="s">
        <v>833</v>
      </c>
      <c r="B821" s="4">
        <v>45563</v>
      </c>
      <c r="C821" s="3" t="s">
        <v>2029</v>
      </c>
      <c r="D821" s="5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3">
      <c r="A822" s="3" t="s">
        <v>834</v>
      </c>
      <c r="B822" s="4">
        <v>45073</v>
      </c>
      <c r="C822" s="3" t="s">
        <v>2030</v>
      </c>
      <c r="D822" s="5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3">
      <c r="A823" s="3" t="s">
        <v>835</v>
      </c>
      <c r="B823" s="4">
        <v>45640</v>
      </c>
      <c r="C823" s="3" t="s">
        <v>2031</v>
      </c>
      <c r="D823" s="5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3">
      <c r="A824" s="3" t="s">
        <v>836</v>
      </c>
      <c r="B824" s="4">
        <v>45731</v>
      </c>
      <c r="C824" s="3" t="s">
        <v>2032</v>
      </c>
      <c r="D824" s="5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3">
      <c r="A825" s="3" t="s">
        <v>837</v>
      </c>
      <c r="B825" s="4">
        <v>45572</v>
      </c>
      <c r="C825" s="3" t="s">
        <v>2033</v>
      </c>
      <c r="D825" s="5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3">
      <c r="A826" s="3" t="s">
        <v>838</v>
      </c>
      <c r="B826" s="4">
        <v>45167</v>
      </c>
      <c r="C826" s="3" t="s">
        <v>2034</v>
      </c>
      <c r="D826" s="5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3">
      <c r="A827" s="3" t="s">
        <v>839</v>
      </c>
      <c r="B827" s="4">
        <v>45742</v>
      </c>
      <c r="C827" s="3" t="s">
        <v>2035</v>
      </c>
      <c r="D827" s="5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3">
      <c r="A828" s="3" t="s">
        <v>840</v>
      </c>
      <c r="B828" s="4">
        <v>45724</v>
      </c>
      <c r="C828" s="3" t="s">
        <v>2036</v>
      </c>
      <c r="D828" s="5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3">
      <c r="A829" s="3" t="s">
        <v>841</v>
      </c>
      <c r="B829" s="4">
        <v>45071</v>
      </c>
      <c r="C829" s="3" t="s">
        <v>2037</v>
      </c>
      <c r="D829" s="5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3">
      <c r="A830" s="3" t="s">
        <v>842</v>
      </c>
      <c r="B830" s="4">
        <v>45497</v>
      </c>
      <c r="C830" s="3" t="s">
        <v>2038</v>
      </c>
      <c r="D830" s="5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3">
      <c r="A831" s="3" t="s">
        <v>843</v>
      </c>
      <c r="B831" s="4">
        <v>44962</v>
      </c>
      <c r="C831" s="3" t="s">
        <v>2039</v>
      </c>
      <c r="D831" s="5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3">
      <c r="A832" s="3" t="s">
        <v>844</v>
      </c>
      <c r="B832" s="4">
        <v>45637</v>
      </c>
      <c r="C832" s="3" t="s">
        <v>2040</v>
      </c>
      <c r="D832" s="5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3">
      <c r="A833" s="3" t="s">
        <v>845</v>
      </c>
      <c r="B833" s="4">
        <v>45278</v>
      </c>
      <c r="C833" s="3" t="s">
        <v>2041</v>
      </c>
      <c r="D833" s="5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4283</v>
      </c>
      <c r="M833" s="3" t="s">
        <v>4282</v>
      </c>
      <c r="N833">
        <v>177.46</v>
      </c>
    </row>
    <row r="834" spans="1:14" x14ac:dyDescent="0.3">
      <c r="A834" s="3" t="s">
        <v>846</v>
      </c>
      <c r="B834" s="4">
        <v>45363</v>
      </c>
      <c r="C834" s="3" t="s">
        <v>2042</v>
      </c>
      <c r="D834" s="5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3">
      <c r="A835" s="3" t="s">
        <v>847</v>
      </c>
      <c r="B835" s="4">
        <v>45730</v>
      </c>
      <c r="C835" s="3" t="s">
        <v>2043</v>
      </c>
      <c r="D835" s="5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3">
      <c r="A836" s="3" t="s">
        <v>848</v>
      </c>
      <c r="B836" s="4">
        <v>45393</v>
      </c>
      <c r="C836" s="3" t="s">
        <v>2044</v>
      </c>
      <c r="D836" s="5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4283</v>
      </c>
      <c r="M836" s="3" t="s">
        <v>4278</v>
      </c>
      <c r="N836">
        <v>110.7</v>
      </c>
    </row>
    <row r="837" spans="1:14" x14ac:dyDescent="0.3">
      <c r="A837" s="3" t="s">
        <v>849</v>
      </c>
      <c r="B837" s="4">
        <v>45377</v>
      </c>
      <c r="C837" s="3" t="s">
        <v>2045</v>
      </c>
      <c r="D837" s="5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3">
      <c r="A838" s="3" t="s">
        <v>850</v>
      </c>
      <c r="B838" s="4">
        <v>44959</v>
      </c>
      <c r="C838" s="3" t="s">
        <v>2046</v>
      </c>
      <c r="D838" s="5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3">
      <c r="A839" s="3" t="s">
        <v>851</v>
      </c>
      <c r="B839" s="4">
        <v>45822</v>
      </c>
      <c r="C839" s="3" t="s">
        <v>2047</v>
      </c>
      <c r="D839" s="5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4283</v>
      </c>
      <c r="M839" s="3" t="s">
        <v>4280</v>
      </c>
      <c r="N839">
        <v>3277.75</v>
      </c>
    </row>
    <row r="840" spans="1:14" x14ac:dyDescent="0.3">
      <c r="A840" s="3" t="s">
        <v>852</v>
      </c>
      <c r="B840" s="4">
        <v>45393</v>
      </c>
      <c r="C840" s="3" t="s">
        <v>2048</v>
      </c>
      <c r="D840" s="5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4283</v>
      </c>
      <c r="M840" s="3" t="s">
        <v>4281</v>
      </c>
      <c r="N840">
        <v>2308.3200000000002</v>
      </c>
    </row>
    <row r="841" spans="1:14" x14ac:dyDescent="0.3">
      <c r="A841" s="3" t="s">
        <v>853</v>
      </c>
      <c r="B841" s="4">
        <v>45162</v>
      </c>
      <c r="C841" s="3" t="s">
        <v>2049</v>
      </c>
      <c r="D841" s="5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4283</v>
      </c>
      <c r="M841" s="3" t="s">
        <v>4282</v>
      </c>
      <c r="N841">
        <v>593.91</v>
      </c>
    </row>
    <row r="842" spans="1:14" x14ac:dyDescent="0.3">
      <c r="A842" s="3" t="s">
        <v>854</v>
      </c>
      <c r="B842" s="4">
        <v>45305</v>
      </c>
      <c r="C842" s="3" t="s">
        <v>2050</v>
      </c>
      <c r="D842" s="5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3">
      <c r="A843" s="3" t="s">
        <v>855</v>
      </c>
      <c r="B843" s="4">
        <v>45554</v>
      </c>
      <c r="C843" s="3" t="s">
        <v>2051</v>
      </c>
      <c r="D843" s="5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4283</v>
      </c>
      <c r="M843" s="3" t="s">
        <v>4281</v>
      </c>
      <c r="N843">
        <v>886.44</v>
      </c>
    </row>
    <row r="844" spans="1:14" x14ac:dyDescent="0.3">
      <c r="A844" s="3" t="s">
        <v>856</v>
      </c>
      <c r="B844" s="4">
        <v>45784</v>
      </c>
      <c r="C844" s="3" t="s">
        <v>2052</v>
      </c>
      <c r="D844" s="5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3">
      <c r="A845" s="3" t="s">
        <v>857</v>
      </c>
      <c r="B845" s="4">
        <v>45790</v>
      </c>
      <c r="C845" s="3" t="s">
        <v>2053</v>
      </c>
      <c r="D845" s="5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3">
      <c r="A846" s="3" t="s">
        <v>858</v>
      </c>
      <c r="B846" s="4">
        <v>45630</v>
      </c>
      <c r="C846" s="3" t="s">
        <v>2054</v>
      </c>
      <c r="D846" s="5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3">
      <c r="A847" s="3" t="s">
        <v>859</v>
      </c>
      <c r="B847" s="4">
        <v>45207</v>
      </c>
      <c r="C847" s="3" t="s">
        <v>2055</v>
      </c>
      <c r="D847" s="5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3">
      <c r="A848" s="3" t="s">
        <v>860</v>
      </c>
      <c r="B848" s="4">
        <v>45477</v>
      </c>
      <c r="C848" s="3" t="s">
        <v>2056</v>
      </c>
      <c r="D848" s="5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4283</v>
      </c>
      <c r="M848" s="3" t="s">
        <v>4279</v>
      </c>
      <c r="N848">
        <v>719.72</v>
      </c>
    </row>
    <row r="849" spans="1:14" x14ac:dyDescent="0.3">
      <c r="A849" s="3" t="s">
        <v>861</v>
      </c>
      <c r="B849" s="4">
        <v>45614</v>
      </c>
      <c r="C849" s="3" t="s">
        <v>2057</v>
      </c>
      <c r="D849" s="5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3">
      <c r="A850" s="3" t="s">
        <v>862</v>
      </c>
      <c r="B850" s="4">
        <v>44927</v>
      </c>
      <c r="C850" s="3" t="s">
        <v>2058</v>
      </c>
      <c r="D850" s="5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4283</v>
      </c>
      <c r="M850" s="3" t="s">
        <v>4279</v>
      </c>
      <c r="N850">
        <v>1291.7</v>
      </c>
    </row>
    <row r="851" spans="1:14" x14ac:dyDescent="0.3">
      <c r="A851" s="3" t="s">
        <v>863</v>
      </c>
      <c r="B851" s="4">
        <v>45817</v>
      </c>
      <c r="C851" s="3" t="s">
        <v>2059</v>
      </c>
      <c r="D851" s="5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3">
      <c r="A852" s="3" t="s">
        <v>864</v>
      </c>
      <c r="B852" s="4">
        <v>45774</v>
      </c>
      <c r="C852" s="3" t="s">
        <v>2060</v>
      </c>
      <c r="D852" s="5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3">
      <c r="A853" s="3" t="s">
        <v>865</v>
      </c>
      <c r="B853" s="4">
        <v>45272</v>
      </c>
      <c r="C853" s="3" t="s">
        <v>2061</v>
      </c>
      <c r="D853" s="5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3">
      <c r="A854" s="3" t="s">
        <v>866</v>
      </c>
      <c r="B854" s="4">
        <v>45589</v>
      </c>
      <c r="C854" s="3" t="s">
        <v>2062</v>
      </c>
      <c r="D854" s="5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3">
      <c r="A855" s="3" t="s">
        <v>867</v>
      </c>
      <c r="B855" s="4">
        <v>45215</v>
      </c>
      <c r="C855" s="3" t="s">
        <v>2063</v>
      </c>
      <c r="D855" s="5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3">
      <c r="A856" s="3" t="s">
        <v>868</v>
      </c>
      <c r="B856" s="4">
        <v>45821</v>
      </c>
      <c r="C856" s="3" t="s">
        <v>2064</v>
      </c>
      <c r="D856" s="5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3">
      <c r="A857" s="3" t="s">
        <v>869</v>
      </c>
      <c r="B857" s="4">
        <v>45071</v>
      </c>
      <c r="C857" s="3" t="s">
        <v>2065</v>
      </c>
      <c r="D857" s="5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3">
      <c r="A858" s="3" t="s">
        <v>870</v>
      </c>
      <c r="B858" s="4">
        <v>45446</v>
      </c>
      <c r="C858" s="3" t="s">
        <v>2066</v>
      </c>
      <c r="D858" s="5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4283</v>
      </c>
      <c r="M858" s="3" t="s">
        <v>4281</v>
      </c>
      <c r="N858">
        <v>586.62</v>
      </c>
    </row>
    <row r="859" spans="1:14" x14ac:dyDescent="0.3">
      <c r="A859" s="3" t="s">
        <v>871</v>
      </c>
      <c r="B859" s="4">
        <v>45361</v>
      </c>
      <c r="C859" s="3" t="s">
        <v>2067</v>
      </c>
      <c r="D859" s="5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4283</v>
      </c>
      <c r="M859" s="3" t="s">
        <v>4278</v>
      </c>
      <c r="N859">
        <v>773.52</v>
      </c>
    </row>
    <row r="860" spans="1:14" x14ac:dyDescent="0.3">
      <c r="A860" s="3" t="s">
        <v>872</v>
      </c>
      <c r="B860" s="4">
        <v>45158</v>
      </c>
      <c r="C860" s="3" t="s">
        <v>2068</v>
      </c>
      <c r="D860" s="5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4283</v>
      </c>
      <c r="M860" s="3" t="s">
        <v>4281</v>
      </c>
      <c r="N860">
        <v>2178.3000000000002</v>
      </c>
    </row>
    <row r="861" spans="1:14" x14ac:dyDescent="0.3">
      <c r="A861" s="3" t="s">
        <v>873</v>
      </c>
      <c r="B861" s="4">
        <v>45532</v>
      </c>
      <c r="C861" s="3" t="s">
        <v>2069</v>
      </c>
      <c r="D861" s="5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3">
      <c r="A862" s="3" t="s">
        <v>874</v>
      </c>
      <c r="B862" s="4">
        <v>45314</v>
      </c>
      <c r="C862" s="3" t="s">
        <v>2070</v>
      </c>
      <c r="D862" s="5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3">
      <c r="A863" s="3" t="s">
        <v>875</v>
      </c>
      <c r="B863" s="4">
        <v>45004</v>
      </c>
      <c r="C863" s="3" t="s">
        <v>2071</v>
      </c>
      <c r="D863" s="5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3">
      <c r="A864" s="3" t="s">
        <v>876</v>
      </c>
      <c r="B864" s="4">
        <v>45262</v>
      </c>
      <c r="C864" s="3" t="s">
        <v>2072</v>
      </c>
      <c r="D864" s="5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3">
      <c r="A865" s="3" t="s">
        <v>877</v>
      </c>
      <c r="B865" s="4">
        <v>45432</v>
      </c>
      <c r="C865" s="3" t="s">
        <v>2073</v>
      </c>
      <c r="D865" s="5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3">
      <c r="A866" s="3" t="s">
        <v>878</v>
      </c>
      <c r="B866" s="4">
        <v>45049</v>
      </c>
      <c r="C866" s="3" t="s">
        <v>2074</v>
      </c>
      <c r="D866" s="5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3">
      <c r="A867" s="3" t="s">
        <v>879</v>
      </c>
      <c r="B867" s="4">
        <v>45046</v>
      </c>
      <c r="C867" s="3" t="s">
        <v>2075</v>
      </c>
      <c r="D867" s="5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3">
      <c r="A868" s="3" t="s">
        <v>880</v>
      </c>
      <c r="B868" s="4">
        <v>45499</v>
      </c>
      <c r="C868" s="3" t="s">
        <v>2076</v>
      </c>
      <c r="D868" s="5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3">
      <c r="A869" s="3" t="s">
        <v>881</v>
      </c>
      <c r="B869" s="4">
        <v>45438</v>
      </c>
      <c r="C869" s="3" t="s">
        <v>2077</v>
      </c>
      <c r="D869" s="5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3">
      <c r="A870" s="3" t="s">
        <v>882</v>
      </c>
      <c r="B870" s="4">
        <v>45472</v>
      </c>
      <c r="C870" s="3" t="s">
        <v>2078</v>
      </c>
      <c r="D870" s="5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4283</v>
      </c>
      <c r="M870" s="3" t="s">
        <v>4281</v>
      </c>
      <c r="N870">
        <v>1265.28</v>
      </c>
    </row>
    <row r="871" spans="1:14" x14ac:dyDescent="0.3">
      <c r="A871" s="3" t="s">
        <v>883</v>
      </c>
      <c r="B871" s="4">
        <v>45368</v>
      </c>
      <c r="C871" s="3" t="s">
        <v>2079</v>
      </c>
      <c r="D871" s="5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3">
      <c r="A872" s="3" t="s">
        <v>884</v>
      </c>
      <c r="B872" s="4">
        <v>45809</v>
      </c>
      <c r="C872" s="3" t="s">
        <v>2080</v>
      </c>
      <c r="D872" s="5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3">
      <c r="A873" s="3" t="s">
        <v>885</v>
      </c>
      <c r="B873" s="4">
        <v>45428</v>
      </c>
      <c r="C873" s="3" t="s">
        <v>2081</v>
      </c>
      <c r="D873" s="5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972.90000000000009</v>
      </c>
    </row>
    <row r="874" spans="1:14" x14ac:dyDescent="0.3">
      <c r="A874" s="3" t="s">
        <v>886</v>
      </c>
      <c r="B874" s="4">
        <v>45117</v>
      </c>
      <c r="C874" s="3" t="s">
        <v>2082</v>
      </c>
      <c r="D874" s="5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4283</v>
      </c>
      <c r="M874" s="3" t="s">
        <v>4280</v>
      </c>
      <c r="N874">
        <v>2517.36</v>
      </c>
    </row>
    <row r="875" spans="1:14" x14ac:dyDescent="0.3">
      <c r="A875" s="3" t="s">
        <v>887</v>
      </c>
      <c r="B875" s="4">
        <v>45424</v>
      </c>
      <c r="C875" s="3" t="s">
        <v>2083</v>
      </c>
      <c r="D875" s="5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3">
      <c r="A876" s="3" t="s">
        <v>888</v>
      </c>
      <c r="B876" s="4">
        <v>45230</v>
      </c>
      <c r="C876" s="3" t="s">
        <v>2084</v>
      </c>
      <c r="D876" s="5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3">
      <c r="A877" s="3" t="s">
        <v>889</v>
      </c>
      <c r="B877" s="4">
        <v>45141</v>
      </c>
      <c r="C877" s="3" t="s">
        <v>2085</v>
      </c>
      <c r="D877" s="5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666.94999999999993</v>
      </c>
    </row>
    <row r="878" spans="1:14" x14ac:dyDescent="0.3">
      <c r="A878" s="3" t="s">
        <v>890</v>
      </c>
      <c r="B878" s="4">
        <v>45452</v>
      </c>
      <c r="C878" s="3" t="s">
        <v>2086</v>
      </c>
      <c r="D878" s="5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3">
      <c r="A879" s="3" t="s">
        <v>891</v>
      </c>
      <c r="B879" s="4">
        <v>45498</v>
      </c>
      <c r="C879" s="3" t="s">
        <v>2087</v>
      </c>
      <c r="D879" s="5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3">
      <c r="A880" s="3" t="s">
        <v>892</v>
      </c>
      <c r="B880" s="4">
        <v>45078</v>
      </c>
      <c r="C880" s="3" t="s">
        <v>2088</v>
      </c>
      <c r="D880" s="5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3">
      <c r="A881" s="3" t="s">
        <v>893</v>
      </c>
      <c r="B881" s="4">
        <v>45755</v>
      </c>
      <c r="C881" s="3" t="s">
        <v>2089</v>
      </c>
      <c r="D881" s="5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4283</v>
      </c>
      <c r="M881" s="3" t="s">
        <v>4278</v>
      </c>
      <c r="N881">
        <v>1095.3399999999999</v>
      </c>
    </row>
    <row r="882" spans="1:14" x14ac:dyDescent="0.3">
      <c r="A882" s="3" t="s">
        <v>894</v>
      </c>
      <c r="B882" s="4">
        <v>45728</v>
      </c>
      <c r="C882" s="3" t="s">
        <v>2090</v>
      </c>
      <c r="D882" s="5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3">
      <c r="A883" s="3" t="s">
        <v>895</v>
      </c>
      <c r="B883" s="4">
        <v>44929</v>
      </c>
      <c r="C883" s="3" t="s">
        <v>2091</v>
      </c>
      <c r="D883" s="5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4283</v>
      </c>
      <c r="M883" s="3" t="s">
        <v>4278</v>
      </c>
      <c r="N883">
        <v>897.7</v>
      </c>
    </row>
    <row r="884" spans="1:14" x14ac:dyDescent="0.3">
      <c r="A884" s="3" t="s">
        <v>896</v>
      </c>
      <c r="B884" s="4">
        <v>45836</v>
      </c>
      <c r="C884" s="3" t="s">
        <v>2092</v>
      </c>
      <c r="D884" s="5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3">
      <c r="A885" s="3" t="s">
        <v>897</v>
      </c>
      <c r="B885" s="4">
        <v>45790</v>
      </c>
      <c r="C885" s="3" t="s">
        <v>2093</v>
      </c>
      <c r="D885" s="5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3">
      <c r="A886" s="3" t="s">
        <v>898</v>
      </c>
      <c r="B886" s="4">
        <v>45427</v>
      </c>
      <c r="C886" s="3" t="s">
        <v>2094</v>
      </c>
      <c r="D886" s="5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4283</v>
      </c>
      <c r="M886" s="3" t="s">
        <v>4278</v>
      </c>
      <c r="N886">
        <v>595.54</v>
      </c>
    </row>
    <row r="887" spans="1:14" x14ac:dyDescent="0.3">
      <c r="A887" s="3" t="s">
        <v>899</v>
      </c>
      <c r="B887" s="4">
        <v>45389</v>
      </c>
      <c r="C887" s="3" t="s">
        <v>2095</v>
      </c>
      <c r="D887" s="5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3">
      <c r="A888" s="3" t="s">
        <v>900</v>
      </c>
      <c r="B888" s="4">
        <v>45224</v>
      </c>
      <c r="C888" s="3" t="s">
        <v>2096</v>
      </c>
      <c r="D888" s="5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4283</v>
      </c>
      <c r="M888" s="3" t="s">
        <v>4282</v>
      </c>
      <c r="N888">
        <v>460.13</v>
      </c>
    </row>
    <row r="889" spans="1:14" x14ac:dyDescent="0.3">
      <c r="A889" s="3" t="s">
        <v>901</v>
      </c>
      <c r="B889" s="4">
        <v>45645</v>
      </c>
      <c r="C889" s="3" t="s">
        <v>2097</v>
      </c>
      <c r="D889" s="5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4283</v>
      </c>
      <c r="M889" s="3" t="s">
        <v>4282</v>
      </c>
      <c r="N889">
        <v>514.98</v>
      </c>
    </row>
    <row r="890" spans="1:14" x14ac:dyDescent="0.3">
      <c r="A890" s="3" t="s">
        <v>902</v>
      </c>
      <c r="B890" s="4">
        <v>45496</v>
      </c>
      <c r="C890" s="3" t="s">
        <v>2098</v>
      </c>
      <c r="D890" s="5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4283</v>
      </c>
      <c r="M890" s="3" t="s">
        <v>4278</v>
      </c>
      <c r="N890">
        <v>533.9</v>
      </c>
    </row>
    <row r="891" spans="1:14" x14ac:dyDescent="0.3">
      <c r="A891" s="3" t="s">
        <v>903</v>
      </c>
      <c r="B891" s="4">
        <v>45592</v>
      </c>
      <c r="C891" s="3" t="s">
        <v>2099</v>
      </c>
      <c r="D891" s="5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3">
      <c r="A892" s="3" t="s">
        <v>904</v>
      </c>
      <c r="B892" s="4">
        <v>45149</v>
      </c>
      <c r="C892" s="3" t="s">
        <v>2100</v>
      </c>
      <c r="D892" s="5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4283</v>
      </c>
      <c r="M892" s="3" t="s">
        <v>4282</v>
      </c>
      <c r="N892">
        <v>1318.59</v>
      </c>
    </row>
    <row r="893" spans="1:14" x14ac:dyDescent="0.3">
      <c r="A893" s="3" t="s">
        <v>905</v>
      </c>
      <c r="B893" s="4">
        <v>45241</v>
      </c>
      <c r="C893" s="3" t="s">
        <v>2101</v>
      </c>
      <c r="D893" s="5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3">
      <c r="A894" s="3" t="s">
        <v>906</v>
      </c>
      <c r="B894" s="4">
        <v>45447</v>
      </c>
      <c r="C894" s="3" t="s">
        <v>2102</v>
      </c>
      <c r="D894" s="5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3">
      <c r="A895" s="3" t="s">
        <v>907</v>
      </c>
      <c r="B895" s="4">
        <v>45006</v>
      </c>
      <c r="C895" s="3" t="s">
        <v>2103</v>
      </c>
      <c r="D895" s="5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3">
      <c r="A896" s="3" t="s">
        <v>908</v>
      </c>
      <c r="B896" s="4">
        <v>45069</v>
      </c>
      <c r="C896" s="3" t="s">
        <v>2104</v>
      </c>
      <c r="D896" s="5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3">
      <c r="A897" s="3" t="s">
        <v>909</v>
      </c>
      <c r="B897" s="4">
        <v>45239</v>
      </c>
      <c r="C897" s="3" t="s">
        <v>2105</v>
      </c>
      <c r="D897" s="5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3">
      <c r="A898" s="3" t="s">
        <v>910</v>
      </c>
      <c r="B898" s="4">
        <v>45583</v>
      </c>
      <c r="C898" s="3" t="s">
        <v>2106</v>
      </c>
      <c r="D898" s="5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3">
      <c r="A899" s="3" t="s">
        <v>911</v>
      </c>
      <c r="B899" s="4">
        <v>45538</v>
      </c>
      <c r="C899" s="3" t="s">
        <v>2107</v>
      </c>
      <c r="D899" s="5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3">
      <c r="A900" s="3" t="s">
        <v>912</v>
      </c>
      <c r="B900" s="4">
        <v>45721</v>
      </c>
      <c r="C900" s="3" t="s">
        <v>2108</v>
      </c>
      <c r="D900" s="5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4283</v>
      </c>
      <c r="M900" s="3" t="s">
        <v>4279</v>
      </c>
      <c r="N900">
        <v>475.11</v>
      </c>
    </row>
    <row r="901" spans="1:14" x14ac:dyDescent="0.3">
      <c r="A901" s="3" t="s">
        <v>913</v>
      </c>
      <c r="B901" s="4">
        <v>45770</v>
      </c>
      <c r="C901" s="3" t="s">
        <v>2109</v>
      </c>
      <c r="D901" s="5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3">
      <c r="A902" s="3" t="s">
        <v>914</v>
      </c>
      <c r="B902" s="4">
        <v>45695</v>
      </c>
      <c r="C902" s="3" t="s">
        <v>2110</v>
      </c>
      <c r="D902" s="5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4283</v>
      </c>
      <c r="M902" s="3" t="s">
        <v>4278</v>
      </c>
      <c r="N902">
        <v>369.15</v>
      </c>
    </row>
    <row r="903" spans="1:14" x14ac:dyDescent="0.3">
      <c r="A903" s="3" t="s">
        <v>915</v>
      </c>
      <c r="B903" s="4">
        <v>45410</v>
      </c>
      <c r="C903" s="3" t="s">
        <v>2111</v>
      </c>
      <c r="D903" s="5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3">
      <c r="A904" s="3" t="s">
        <v>916</v>
      </c>
      <c r="B904" s="4">
        <v>45486</v>
      </c>
      <c r="C904" s="3" t="s">
        <v>2112</v>
      </c>
      <c r="D904" s="5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4283</v>
      </c>
      <c r="M904" s="3" t="s">
        <v>4281</v>
      </c>
      <c r="N904">
        <v>721</v>
      </c>
    </row>
    <row r="905" spans="1:14" x14ac:dyDescent="0.3">
      <c r="A905" s="3" t="s">
        <v>917</v>
      </c>
      <c r="B905" s="4">
        <v>45063</v>
      </c>
      <c r="C905" s="3" t="s">
        <v>2113</v>
      </c>
      <c r="D905" s="5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4283</v>
      </c>
      <c r="M905" s="3" t="s">
        <v>4280</v>
      </c>
      <c r="N905">
        <v>1420.47</v>
      </c>
    </row>
    <row r="906" spans="1:14" x14ac:dyDescent="0.3">
      <c r="A906" s="3" t="s">
        <v>918</v>
      </c>
      <c r="B906" s="4">
        <v>45693</v>
      </c>
      <c r="C906" s="3" t="s">
        <v>2114</v>
      </c>
      <c r="D906" s="5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3">
      <c r="A907" s="3" t="s">
        <v>919</v>
      </c>
      <c r="B907" s="4">
        <v>45253</v>
      </c>
      <c r="C907" s="3" t="s">
        <v>2115</v>
      </c>
      <c r="D907" s="5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3">
      <c r="A908" s="3" t="s">
        <v>920</v>
      </c>
      <c r="B908" s="4">
        <v>45538</v>
      </c>
      <c r="C908" s="3" t="s">
        <v>2116</v>
      </c>
      <c r="D908" s="5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4283</v>
      </c>
      <c r="M908" s="3" t="s">
        <v>4280</v>
      </c>
      <c r="N908">
        <v>62.12</v>
      </c>
    </row>
    <row r="909" spans="1:14" x14ac:dyDescent="0.3">
      <c r="A909" s="3" t="s">
        <v>921</v>
      </c>
      <c r="B909" s="4">
        <v>45508</v>
      </c>
      <c r="C909" s="3" t="s">
        <v>2117</v>
      </c>
      <c r="D909" s="5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3">
      <c r="A910" s="3" t="s">
        <v>922</v>
      </c>
      <c r="B910" s="4">
        <v>45783</v>
      </c>
      <c r="C910" s="3" t="s">
        <v>2118</v>
      </c>
      <c r="D910" s="5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3">
      <c r="A911" s="3" t="s">
        <v>923</v>
      </c>
      <c r="B911" s="4">
        <v>45439</v>
      </c>
      <c r="C911" s="3" t="s">
        <v>2119</v>
      </c>
      <c r="D911" s="5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3">
      <c r="A912" s="3" t="s">
        <v>924</v>
      </c>
      <c r="B912" s="4">
        <v>45443</v>
      </c>
      <c r="C912" s="3" t="s">
        <v>2120</v>
      </c>
      <c r="D912" s="5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3">
      <c r="A913" s="3" t="s">
        <v>925</v>
      </c>
      <c r="B913" s="4">
        <v>45517</v>
      </c>
      <c r="C913" s="3" t="s">
        <v>2121</v>
      </c>
      <c r="D913" s="5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3">
      <c r="A914" s="3" t="s">
        <v>926</v>
      </c>
      <c r="B914" s="4">
        <v>45313</v>
      </c>
      <c r="C914" s="3" t="s">
        <v>2122</v>
      </c>
      <c r="D914" s="5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3">
      <c r="A915" s="3" t="s">
        <v>927</v>
      </c>
      <c r="B915" s="4">
        <v>44973</v>
      </c>
      <c r="C915" s="3" t="s">
        <v>2123</v>
      </c>
      <c r="D915" s="5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3">
      <c r="A916" s="3" t="s">
        <v>928</v>
      </c>
      <c r="B916" s="4">
        <v>45698</v>
      </c>
      <c r="C916" s="3" t="s">
        <v>2124</v>
      </c>
      <c r="D916" s="5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3">
      <c r="A917" s="3" t="s">
        <v>929</v>
      </c>
      <c r="B917" s="4">
        <v>45338</v>
      </c>
      <c r="C917" s="3" t="s">
        <v>2125</v>
      </c>
      <c r="D917" s="5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3">
      <c r="A918" s="3" t="s">
        <v>930</v>
      </c>
      <c r="B918" s="4">
        <v>45464</v>
      </c>
      <c r="C918" s="3" t="s">
        <v>2126</v>
      </c>
      <c r="D918" s="5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4283</v>
      </c>
      <c r="M918" s="3" t="s">
        <v>4279</v>
      </c>
      <c r="N918">
        <v>2894.15</v>
      </c>
    </row>
    <row r="919" spans="1:14" x14ac:dyDescent="0.3">
      <c r="A919" s="3" t="s">
        <v>931</v>
      </c>
      <c r="B919" s="4">
        <v>45677</v>
      </c>
      <c r="C919" s="3" t="s">
        <v>2127</v>
      </c>
      <c r="D919" s="5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3">
      <c r="A920" s="3" t="s">
        <v>932</v>
      </c>
      <c r="B920" s="4">
        <v>45832</v>
      </c>
      <c r="C920" s="3" t="s">
        <v>2128</v>
      </c>
      <c r="D920" s="5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4283</v>
      </c>
      <c r="M920" s="3" t="s">
        <v>4278</v>
      </c>
      <c r="N920">
        <v>1841.25</v>
      </c>
    </row>
    <row r="921" spans="1:14" x14ac:dyDescent="0.3">
      <c r="A921" s="3" t="s">
        <v>933</v>
      </c>
      <c r="B921" s="4">
        <v>45695</v>
      </c>
      <c r="C921" s="3" t="s">
        <v>2129</v>
      </c>
      <c r="D921" s="5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3">
      <c r="A922" s="3" t="s">
        <v>934</v>
      </c>
      <c r="B922" s="4">
        <v>45728</v>
      </c>
      <c r="C922" s="3" t="s">
        <v>2130</v>
      </c>
      <c r="D922" s="5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4283</v>
      </c>
      <c r="M922" s="3" t="s">
        <v>4278</v>
      </c>
      <c r="N922">
        <v>856.18</v>
      </c>
    </row>
    <row r="923" spans="1:14" x14ac:dyDescent="0.3">
      <c r="A923" s="3" t="s">
        <v>935</v>
      </c>
      <c r="B923" s="4">
        <v>45131</v>
      </c>
      <c r="C923" s="3" t="s">
        <v>2131</v>
      </c>
      <c r="D923" s="5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3">
      <c r="A924" s="3" t="s">
        <v>936</v>
      </c>
      <c r="B924" s="4">
        <v>45460</v>
      </c>
      <c r="C924" s="3" t="s">
        <v>2132</v>
      </c>
      <c r="D924" s="5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4283</v>
      </c>
      <c r="M924" s="3" t="s">
        <v>4278</v>
      </c>
      <c r="N924">
        <v>1127.6400000000001</v>
      </c>
    </row>
    <row r="925" spans="1:14" x14ac:dyDescent="0.3">
      <c r="A925" s="3" t="s">
        <v>937</v>
      </c>
      <c r="B925" s="4">
        <v>44968</v>
      </c>
      <c r="C925" s="3" t="s">
        <v>2133</v>
      </c>
      <c r="D925" s="5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3">
      <c r="A926" s="3" t="s">
        <v>938</v>
      </c>
      <c r="B926" s="4">
        <v>45738</v>
      </c>
      <c r="C926" s="3" t="s">
        <v>2134</v>
      </c>
      <c r="D926" s="5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3">
      <c r="A927" s="3" t="s">
        <v>939</v>
      </c>
      <c r="B927" s="4">
        <v>45646</v>
      </c>
      <c r="C927" s="3" t="s">
        <v>2135</v>
      </c>
      <c r="D927" s="5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3">
      <c r="A928" s="3" t="s">
        <v>940</v>
      </c>
      <c r="B928" s="4">
        <v>45371</v>
      </c>
      <c r="C928" s="3" t="s">
        <v>2136</v>
      </c>
      <c r="D928" s="5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3">
      <c r="A929" s="3" t="s">
        <v>941</v>
      </c>
      <c r="B929" s="4">
        <v>44971</v>
      </c>
      <c r="C929" s="3" t="s">
        <v>2137</v>
      </c>
      <c r="D929" s="5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3">
      <c r="A930" s="3" t="s">
        <v>942</v>
      </c>
      <c r="B930" s="4">
        <v>45421</v>
      </c>
      <c r="C930" s="3" t="s">
        <v>2138</v>
      </c>
      <c r="D930" s="5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3">
      <c r="A931" s="3" t="s">
        <v>943</v>
      </c>
      <c r="B931" s="4">
        <v>45581</v>
      </c>
      <c r="C931" s="3" t="s">
        <v>2139</v>
      </c>
      <c r="D931" s="5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4283</v>
      </c>
      <c r="M931" s="3" t="s">
        <v>4280</v>
      </c>
      <c r="N931">
        <v>1072.5</v>
      </c>
    </row>
    <row r="932" spans="1:14" x14ac:dyDescent="0.3">
      <c r="A932" s="3" t="s">
        <v>944</v>
      </c>
      <c r="B932" s="4">
        <v>45642</v>
      </c>
      <c r="C932" s="3" t="s">
        <v>2140</v>
      </c>
      <c r="D932" s="5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3">
      <c r="A933" s="3" t="s">
        <v>945</v>
      </c>
      <c r="B933" s="4">
        <v>45292</v>
      </c>
      <c r="C933" s="3" t="s">
        <v>2141</v>
      </c>
      <c r="D933" s="5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3">
      <c r="A934" s="3" t="s">
        <v>946</v>
      </c>
      <c r="B934" s="4">
        <v>45011</v>
      </c>
      <c r="C934" s="3" t="s">
        <v>2142</v>
      </c>
      <c r="D934" s="5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3">
      <c r="A935" s="3" t="s">
        <v>947</v>
      </c>
      <c r="B935" s="4">
        <v>44952</v>
      </c>
      <c r="C935" s="3" t="s">
        <v>2143</v>
      </c>
      <c r="D935" s="5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4283</v>
      </c>
      <c r="M935" s="3" t="s">
        <v>4279</v>
      </c>
      <c r="N935">
        <v>788.32</v>
      </c>
    </row>
    <row r="936" spans="1:14" x14ac:dyDescent="0.3">
      <c r="A936" s="3" t="s">
        <v>948</v>
      </c>
      <c r="B936" s="4">
        <v>45809</v>
      </c>
      <c r="C936" s="3" t="s">
        <v>2144</v>
      </c>
      <c r="D936" s="5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3">
      <c r="A937" s="3" t="s">
        <v>949</v>
      </c>
      <c r="B937" s="4">
        <v>45254</v>
      </c>
      <c r="C937" s="3" t="s">
        <v>2145</v>
      </c>
      <c r="D937" s="5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3">
      <c r="A938" s="3" t="s">
        <v>950</v>
      </c>
      <c r="B938" s="4">
        <v>45303</v>
      </c>
      <c r="C938" s="3" t="s">
        <v>2146</v>
      </c>
      <c r="D938" s="5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3">
      <c r="A939" s="3" t="s">
        <v>951</v>
      </c>
      <c r="B939" s="4">
        <v>45307</v>
      </c>
      <c r="C939" s="3" t="s">
        <v>2147</v>
      </c>
      <c r="D939" s="5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3">
      <c r="A940" s="3" t="s">
        <v>952</v>
      </c>
      <c r="B940" s="4">
        <v>45119</v>
      </c>
      <c r="C940" s="3" t="s">
        <v>2148</v>
      </c>
      <c r="D940" s="5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994.37999999999988</v>
      </c>
    </row>
    <row r="941" spans="1:14" x14ac:dyDescent="0.3">
      <c r="A941" s="3" t="s">
        <v>953</v>
      </c>
      <c r="B941" s="4">
        <v>45763</v>
      </c>
      <c r="C941" s="3" t="s">
        <v>2149</v>
      </c>
      <c r="D941" s="5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3">
      <c r="A942" s="3" t="s">
        <v>954</v>
      </c>
      <c r="B942" s="4">
        <v>45012</v>
      </c>
      <c r="C942" s="3" t="s">
        <v>2150</v>
      </c>
      <c r="D942" s="5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3">
      <c r="A943" s="3" t="s">
        <v>955</v>
      </c>
      <c r="B943" s="4">
        <v>45124</v>
      </c>
      <c r="C943" s="3" t="s">
        <v>1653</v>
      </c>
      <c r="D943" s="5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3">
      <c r="A944" s="3" t="s">
        <v>956</v>
      </c>
      <c r="B944" s="4">
        <v>45198</v>
      </c>
      <c r="C944" s="3" t="s">
        <v>2151</v>
      </c>
      <c r="D944" s="5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4283</v>
      </c>
      <c r="M944" s="3" t="s">
        <v>4280</v>
      </c>
      <c r="N944">
        <v>479.76</v>
      </c>
    </row>
    <row r="945" spans="1:14" x14ac:dyDescent="0.3">
      <c r="A945" s="3" t="s">
        <v>957</v>
      </c>
      <c r="B945" s="4">
        <v>45287</v>
      </c>
      <c r="C945" s="3" t="s">
        <v>2152</v>
      </c>
      <c r="D945" s="5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3">
      <c r="A946" s="3" t="s">
        <v>958</v>
      </c>
      <c r="B946" s="4">
        <v>45642</v>
      </c>
      <c r="C946" s="3" t="s">
        <v>2153</v>
      </c>
      <c r="D946" s="5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3">
      <c r="A947" s="3" t="s">
        <v>959</v>
      </c>
      <c r="B947" s="4">
        <v>45158</v>
      </c>
      <c r="C947" s="3" t="s">
        <v>2154</v>
      </c>
      <c r="D947" s="5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3">
      <c r="A948" s="3" t="s">
        <v>960</v>
      </c>
      <c r="B948" s="4">
        <v>45416</v>
      </c>
      <c r="C948" s="3" t="s">
        <v>2155</v>
      </c>
      <c r="D948" s="5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3">
      <c r="A949" s="3" t="s">
        <v>961</v>
      </c>
      <c r="B949" s="4">
        <v>45176</v>
      </c>
      <c r="C949" s="3" t="s">
        <v>2156</v>
      </c>
      <c r="D949" s="5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3">
      <c r="A950" s="3" t="s">
        <v>962</v>
      </c>
      <c r="B950" s="4">
        <v>45464</v>
      </c>
      <c r="C950" s="3" t="s">
        <v>1659</v>
      </c>
      <c r="D950" s="5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4283</v>
      </c>
      <c r="M950" s="3" t="s">
        <v>4282</v>
      </c>
      <c r="N950">
        <v>1188.1400000000001</v>
      </c>
    </row>
    <row r="951" spans="1:14" x14ac:dyDescent="0.3">
      <c r="A951" s="3" t="s">
        <v>963</v>
      </c>
      <c r="B951" s="4">
        <v>45239</v>
      </c>
      <c r="C951" s="3" t="s">
        <v>2157</v>
      </c>
      <c r="D951" s="5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4283</v>
      </c>
      <c r="M951" s="3" t="s">
        <v>4279</v>
      </c>
      <c r="N951">
        <v>551.9</v>
      </c>
    </row>
    <row r="952" spans="1:14" x14ac:dyDescent="0.3">
      <c r="A952" s="3" t="s">
        <v>964</v>
      </c>
      <c r="B952" s="4">
        <v>45443</v>
      </c>
      <c r="C952" s="3" t="s">
        <v>2158</v>
      </c>
      <c r="D952" s="5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3">
      <c r="A953" s="3" t="s">
        <v>965</v>
      </c>
      <c r="B953" s="4">
        <v>45495</v>
      </c>
      <c r="C953" s="3" t="s">
        <v>2159</v>
      </c>
      <c r="D953" s="5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3">
      <c r="A954" s="3" t="s">
        <v>966</v>
      </c>
      <c r="B954" s="4">
        <v>45715</v>
      </c>
      <c r="C954" s="3" t="s">
        <v>2160</v>
      </c>
      <c r="D954" s="5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4283</v>
      </c>
      <c r="M954" s="3" t="s">
        <v>4281</v>
      </c>
      <c r="N954">
        <v>1510.17</v>
      </c>
    </row>
    <row r="955" spans="1:14" x14ac:dyDescent="0.3">
      <c r="A955" s="3" t="s">
        <v>967</v>
      </c>
      <c r="B955" s="4">
        <v>44963</v>
      </c>
      <c r="C955" s="3" t="s">
        <v>2161</v>
      </c>
      <c r="D955" s="5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3">
      <c r="A956" s="3" t="s">
        <v>968</v>
      </c>
      <c r="B956" s="4">
        <v>45587</v>
      </c>
      <c r="C956" s="3" t="s">
        <v>2162</v>
      </c>
      <c r="D956" s="5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3">
      <c r="A957" s="3" t="s">
        <v>969</v>
      </c>
      <c r="B957" s="4">
        <v>44949</v>
      </c>
      <c r="C957" s="3" t="s">
        <v>2163</v>
      </c>
      <c r="D957" s="5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3">
      <c r="A958" s="3" t="s">
        <v>970</v>
      </c>
      <c r="B958" s="4">
        <v>45393</v>
      </c>
      <c r="C958" s="3" t="s">
        <v>1995</v>
      </c>
      <c r="D958" s="5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3">
      <c r="A959" s="3" t="s">
        <v>971</v>
      </c>
      <c r="B959" s="4">
        <v>44938</v>
      </c>
      <c r="C959" s="3" t="s">
        <v>2164</v>
      </c>
      <c r="D959" s="5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3">
      <c r="A960" s="3" t="s">
        <v>972</v>
      </c>
      <c r="B960" s="4">
        <v>45059</v>
      </c>
      <c r="C960" s="3" t="s">
        <v>2165</v>
      </c>
      <c r="D960" s="5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3">
      <c r="A961" s="3" t="s">
        <v>973</v>
      </c>
      <c r="B961" s="4">
        <v>45395</v>
      </c>
      <c r="C961" s="3" t="s">
        <v>2166</v>
      </c>
      <c r="D961" s="5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3">
      <c r="A962" s="3" t="s">
        <v>974</v>
      </c>
      <c r="B962" s="4">
        <v>45271</v>
      </c>
      <c r="C962" s="3" t="s">
        <v>2167</v>
      </c>
      <c r="D962" s="5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3">
      <c r="A963" s="3" t="s">
        <v>975</v>
      </c>
      <c r="B963" s="4">
        <v>45607</v>
      </c>
      <c r="C963" s="3" t="s">
        <v>2168</v>
      </c>
      <c r="D963" s="5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4283</v>
      </c>
      <c r="M963" s="3" t="s">
        <v>4281</v>
      </c>
      <c r="N963">
        <v>601.36</v>
      </c>
    </row>
    <row r="964" spans="1:14" x14ac:dyDescent="0.3">
      <c r="A964" s="3" t="s">
        <v>976</v>
      </c>
      <c r="B964" s="4">
        <v>45541</v>
      </c>
      <c r="C964" s="3" t="s">
        <v>2169</v>
      </c>
      <c r="D964" s="5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3">
      <c r="A965" s="3" t="s">
        <v>977</v>
      </c>
      <c r="B965" s="4">
        <v>45362</v>
      </c>
      <c r="C965" s="3" t="s">
        <v>2170</v>
      </c>
      <c r="D965" s="5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3">
      <c r="A966" s="3" t="s">
        <v>978</v>
      </c>
      <c r="B966" s="4">
        <v>45158</v>
      </c>
      <c r="C966" s="3" t="s">
        <v>2171</v>
      </c>
      <c r="D966" s="5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3">
      <c r="A967" s="3" t="s">
        <v>979</v>
      </c>
      <c r="B967" s="4">
        <v>45826</v>
      </c>
      <c r="C967" s="3" t="s">
        <v>2172</v>
      </c>
      <c r="D967" s="5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3">
      <c r="A968" s="3" t="s">
        <v>980</v>
      </c>
      <c r="B968" s="4">
        <v>45797</v>
      </c>
      <c r="C968" s="3" t="s">
        <v>2173</v>
      </c>
      <c r="D968" s="5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3">
      <c r="A969" s="3" t="s">
        <v>981</v>
      </c>
      <c r="B969" s="4">
        <v>45783</v>
      </c>
      <c r="C969" s="3" t="s">
        <v>2174</v>
      </c>
      <c r="D969" s="5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3">
      <c r="A970" s="3" t="s">
        <v>982</v>
      </c>
      <c r="B970" s="4">
        <v>45330</v>
      </c>
      <c r="C970" s="3" t="s">
        <v>2175</v>
      </c>
      <c r="D970" s="5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3">
      <c r="A971" s="3" t="s">
        <v>983</v>
      </c>
      <c r="B971" s="4">
        <v>45813</v>
      </c>
      <c r="C971" s="3" t="s">
        <v>2176</v>
      </c>
      <c r="D971" s="5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3">
      <c r="A972" s="3" t="s">
        <v>984</v>
      </c>
      <c r="B972" s="4">
        <v>45542</v>
      </c>
      <c r="C972" s="3" t="s">
        <v>2177</v>
      </c>
      <c r="D972" s="5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3">
      <c r="A973" s="3" t="s">
        <v>985</v>
      </c>
      <c r="B973" s="4">
        <v>45439</v>
      </c>
      <c r="C973" s="3" t="s">
        <v>2178</v>
      </c>
      <c r="D973" s="5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3">
      <c r="A974" s="3" t="s">
        <v>986</v>
      </c>
      <c r="B974" s="4">
        <v>45452</v>
      </c>
      <c r="C974" s="3" t="s">
        <v>2179</v>
      </c>
      <c r="D974" s="5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3">
      <c r="A975" s="3" t="s">
        <v>987</v>
      </c>
      <c r="B975" s="4">
        <v>45817</v>
      </c>
      <c r="C975" s="3" t="s">
        <v>2180</v>
      </c>
      <c r="D975" s="5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3">
      <c r="A976" s="3" t="s">
        <v>988</v>
      </c>
      <c r="B976" s="4">
        <v>45196</v>
      </c>
      <c r="C976" s="3" t="s">
        <v>2181</v>
      </c>
      <c r="D976" s="5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4283</v>
      </c>
      <c r="M976" s="3" t="s">
        <v>4280</v>
      </c>
      <c r="N976">
        <v>1333.9</v>
      </c>
    </row>
    <row r="977" spans="1:14" x14ac:dyDescent="0.3">
      <c r="A977" s="3" t="s">
        <v>989</v>
      </c>
      <c r="B977" s="4">
        <v>45064</v>
      </c>
      <c r="C977" s="3" t="s">
        <v>2182</v>
      </c>
      <c r="D977" s="5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3">
      <c r="A978" s="3" t="s">
        <v>990</v>
      </c>
      <c r="B978" s="4">
        <v>45386</v>
      </c>
      <c r="C978" s="3" t="s">
        <v>2183</v>
      </c>
      <c r="D978" s="5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3">
      <c r="A979" s="3" t="s">
        <v>991</v>
      </c>
      <c r="B979" s="4">
        <v>44954</v>
      </c>
      <c r="C979" s="3" t="s">
        <v>2184</v>
      </c>
      <c r="D979" s="5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3">
      <c r="A980" s="3" t="s">
        <v>992</v>
      </c>
      <c r="B980" s="4">
        <v>45468</v>
      </c>
      <c r="C980" s="3" t="s">
        <v>2185</v>
      </c>
      <c r="D980" s="5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4283</v>
      </c>
      <c r="M980" s="3" t="s">
        <v>4282</v>
      </c>
      <c r="N980">
        <v>429.96</v>
      </c>
    </row>
    <row r="981" spans="1:14" x14ac:dyDescent="0.3">
      <c r="A981" s="3" t="s">
        <v>993</v>
      </c>
      <c r="B981" s="4">
        <v>45077</v>
      </c>
      <c r="C981" s="3" t="s">
        <v>2186</v>
      </c>
      <c r="D981" s="5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3">
      <c r="A982" s="3" t="s">
        <v>994</v>
      </c>
      <c r="B982" s="4">
        <v>45213</v>
      </c>
      <c r="C982" s="3" t="s">
        <v>2187</v>
      </c>
      <c r="D982" s="5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3">
      <c r="A983" s="3" t="s">
        <v>995</v>
      </c>
      <c r="B983" s="4">
        <v>45256</v>
      </c>
      <c r="C983" s="3" t="s">
        <v>2188</v>
      </c>
      <c r="D983" s="5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3">
      <c r="A984" s="3" t="s">
        <v>996</v>
      </c>
      <c r="B984" s="4">
        <v>45541</v>
      </c>
      <c r="C984" s="3" t="s">
        <v>2189</v>
      </c>
      <c r="D984" s="5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3">
      <c r="A985" s="3" t="s">
        <v>997</v>
      </c>
      <c r="B985" s="4">
        <v>45620</v>
      </c>
      <c r="C985" s="3" t="s">
        <v>2190</v>
      </c>
      <c r="D985" s="5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3">
      <c r="A986" s="3" t="s">
        <v>998</v>
      </c>
      <c r="B986" s="4">
        <v>45716</v>
      </c>
      <c r="C986" s="3" t="s">
        <v>2191</v>
      </c>
      <c r="D986" s="5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3">
      <c r="A987" s="3" t="s">
        <v>999</v>
      </c>
      <c r="B987" s="4">
        <v>45493</v>
      </c>
      <c r="C987" s="3" t="s">
        <v>2192</v>
      </c>
      <c r="D987" s="5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3">
      <c r="A988" s="3" t="s">
        <v>1000</v>
      </c>
      <c r="B988" s="4">
        <v>45542</v>
      </c>
      <c r="C988" s="3" t="s">
        <v>2193</v>
      </c>
      <c r="D988" s="5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3">
      <c r="A989" s="3" t="s">
        <v>1001</v>
      </c>
      <c r="B989" s="4">
        <v>45813</v>
      </c>
      <c r="C989" s="3" t="s">
        <v>2194</v>
      </c>
      <c r="D989" s="5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3">
      <c r="A990" s="3" t="s">
        <v>1002</v>
      </c>
      <c r="B990" s="4">
        <v>45692</v>
      </c>
      <c r="C990" s="3" t="s">
        <v>2195</v>
      </c>
      <c r="D990" s="5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3">
      <c r="A991" s="3" t="s">
        <v>1003</v>
      </c>
      <c r="B991" s="4">
        <v>45008</v>
      </c>
      <c r="C991" s="3" t="s">
        <v>2196</v>
      </c>
      <c r="D991" s="5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3">
      <c r="A992" s="3" t="s">
        <v>1004</v>
      </c>
      <c r="B992" s="4">
        <v>45249</v>
      </c>
      <c r="C992" s="3" t="s">
        <v>2197</v>
      </c>
      <c r="D992" s="5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3">
      <c r="A993" s="3" t="s">
        <v>1005</v>
      </c>
      <c r="B993" s="4">
        <v>45421</v>
      </c>
      <c r="C993" s="3" t="s">
        <v>2198</v>
      </c>
      <c r="D993" s="5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635.90000000000009</v>
      </c>
    </row>
    <row r="994" spans="1:14" x14ac:dyDescent="0.3">
      <c r="A994" s="3" t="s">
        <v>1006</v>
      </c>
      <c r="B994" s="4">
        <v>45531</v>
      </c>
      <c r="C994" s="3" t="s">
        <v>2199</v>
      </c>
      <c r="D994" s="5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3">
      <c r="A995" s="3" t="s">
        <v>1007</v>
      </c>
      <c r="B995" s="4">
        <v>45388</v>
      </c>
      <c r="C995" s="3" t="s">
        <v>2200</v>
      </c>
      <c r="D995" s="5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802.34999999999991</v>
      </c>
    </row>
    <row r="996" spans="1:14" x14ac:dyDescent="0.3">
      <c r="A996" s="3" t="s">
        <v>1008</v>
      </c>
      <c r="B996" s="4">
        <v>45470</v>
      </c>
      <c r="C996" s="3" t="s">
        <v>2201</v>
      </c>
      <c r="D996" s="5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3">
      <c r="A997" s="3" t="s">
        <v>1009</v>
      </c>
      <c r="B997" s="4">
        <v>45248</v>
      </c>
      <c r="C997" s="3" t="s">
        <v>2202</v>
      </c>
      <c r="D997" s="5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3">
      <c r="A998" s="3" t="s">
        <v>1010</v>
      </c>
      <c r="B998" s="4">
        <v>45410</v>
      </c>
      <c r="C998" s="3" t="s">
        <v>2203</v>
      </c>
      <c r="D998" s="5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3">
      <c r="A999" s="3" t="s">
        <v>1011</v>
      </c>
      <c r="B999" s="4">
        <v>45257</v>
      </c>
      <c r="C999" s="3" t="s">
        <v>2204</v>
      </c>
      <c r="D999" s="5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3">
      <c r="A1000" s="3" t="s">
        <v>1012</v>
      </c>
      <c r="B1000" s="4">
        <v>45065</v>
      </c>
      <c r="C1000" s="3" t="s">
        <v>2205</v>
      </c>
      <c r="D1000" s="5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3">
      <c r="A1001" s="3" t="s">
        <v>1013</v>
      </c>
      <c r="B1001" s="4">
        <v>45284</v>
      </c>
      <c r="C1001" s="3" t="s">
        <v>2206</v>
      </c>
      <c r="D1001" s="5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3">
      <c r="A1002" s="3" t="s">
        <v>1014</v>
      </c>
      <c r="B1002" s="4">
        <v>45098</v>
      </c>
      <c r="C1002" s="3" t="s">
        <v>2207</v>
      </c>
      <c r="D1002" s="5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3">
      <c r="A1003" s="3" t="s">
        <v>1015</v>
      </c>
      <c r="B1003" s="4">
        <v>45268</v>
      </c>
      <c r="C1003" s="3" t="s">
        <v>2208</v>
      </c>
      <c r="D1003" s="5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4283</v>
      </c>
      <c r="M1003" s="3" t="s">
        <v>4279</v>
      </c>
      <c r="N1003">
        <v>507.36</v>
      </c>
    </row>
    <row r="1004" spans="1:14" x14ac:dyDescent="0.3">
      <c r="A1004" s="3" t="s">
        <v>1016</v>
      </c>
      <c r="B1004" s="4">
        <v>45827</v>
      </c>
      <c r="C1004" s="3" t="s">
        <v>2209</v>
      </c>
      <c r="D1004" s="5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3">
      <c r="A1005" s="3" t="s">
        <v>1017</v>
      </c>
      <c r="B1005" s="4">
        <v>44937</v>
      </c>
      <c r="C1005" s="3" t="s">
        <v>2210</v>
      </c>
      <c r="D1005" s="5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3">
      <c r="A1006" s="3" t="s">
        <v>1018</v>
      </c>
      <c r="B1006" s="4">
        <v>45817</v>
      </c>
      <c r="C1006" s="3" t="s">
        <v>2211</v>
      </c>
      <c r="D1006" s="5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3">
      <c r="A1007" s="3" t="s">
        <v>1019</v>
      </c>
      <c r="B1007" s="4">
        <v>44987</v>
      </c>
      <c r="C1007" s="3" t="s">
        <v>2212</v>
      </c>
      <c r="D1007" s="5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4283</v>
      </c>
      <c r="M1007" s="3" t="s">
        <v>4282</v>
      </c>
      <c r="N1007">
        <v>1178.55</v>
      </c>
    </row>
    <row r="1008" spans="1:14" x14ac:dyDescent="0.3">
      <c r="A1008" s="3" t="s">
        <v>1020</v>
      </c>
      <c r="B1008" s="4">
        <v>45439</v>
      </c>
      <c r="C1008" s="3" t="s">
        <v>2213</v>
      </c>
      <c r="D1008" s="5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3">
      <c r="A1009" s="3" t="s">
        <v>1021</v>
      </c>
      <c r="B1009" s="4">
        <v>45371</v>
      </c>
      <c r="C1009" s="3" t="s">
        <v>1699</v>
      </c>
      <c r="D1009" s="5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3">
      <c r="A1010" s="3" t="s">
        <v>1022</v>
      </c>
      <c r="B1010" s="4">
        <v>44939</v>
      </c>
      <c r="C1010" s="3" t="s">
        <v>2214</v>
      </c>
      <c r="D1010" s="5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3">
      <c r="A1011" s="3" t="s">
        <v>1023</v>
      </c>
      <c r="B1011" s="4">
        <v>45171</v>
      </c>
      <c r="C1011" s="3" t="s">
        <v>2215</v>
      </c>
      <c r="D1011" s="5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3">
      <c r="A1012" s="3" t="s">
        <v>1024</v>
      </c>
      <c r="B1012" s="4">
        <v>45016</v>
      </c>
      <c r="C1012" s="3" t="s">
        <v>2216</v>
      </c>
      <c r="D1012" s="5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3">
      <c r="A1013" s="3" t="s">
        <v>1025</v>
      </c>
      <c r="B1013" s="4">
        <v>45629</v>
      </c>
      <c r="C1013" s="3" t="s">
        <v>2217</v>
      </c>
      <c r="D1013" s="5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4283</v>
      </c>
      <c r="M1013" s="3" t="s">
        <v>4282</v>
      </c>
      <c r="N1013">
        <v>956.72</v>
      </c>
    </row>
    <row r="1014" spans="1:14" x14ac:dyDescent="0.3">
      <c r="A1014" s="3" t="s">
        <v>1026</v>
      </c>
      <c r="B1014" s="4">
        <v>45629</v>
      </c>
      <c r="C1014" s="3" t="s">
        <v>2218</v>
      </c>
      <c r="D1014" s="5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4283</v>
      </c>
      <c r="M1014" s="3" t="s">
        <v>4281</v>
      </c>
      <c r="N1014">
        <v>120.2</v>
      </c>
    </row>
    <row r="1015" spans="1:14" x14ac:dyDescent="0.3">
      <c r="A1015" s="3" t="s">
        <v>1027</v>
      </c>
      <c r="B1015" s="4">
        <v>45773</v>
      </c>
      <c r="C1015" s="3" t="s">
        <v>2219</v>
      </c>
      <c r="D1015" s="5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3">
      <c r="A1016" s="3" t="s">
        <v>1028</v>
      </c>
      <c r="B1016" s="4">
        <v>45326</v>
      </c>
      <c r="C1016" s="3" t="s">
        <v>2220</v>
      </c>
      <c r="D1016" s="5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3">
      <c r="A1017" s="3" t="s">
        <v>1029</v>
      </c>
      <c r="B1017" s="4">
        <v>45317</v>
      </c>
      <c r="C1017" s="3" t="s">
        <v>2221</v>
      </c>
      <c r="D1017" s="5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3">
      <c r="A1018" s="3" t="s">
        <v>1030</v>
      </c>
      <c r="B1018" s="4">
        <v>45289</v>
      </c>
      <c r="C1018" s="3" t="s">
        <v>2222</v>
      </c>
      <c r="D1018" s="5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3">
      <c r="A1019" s="3" t="s">
        <v>1031</v>
      </c>
      <c r="B1019" s="4">
        <v>45529</v>
      </c>
      <c r="C1019" s="3" t="s">
        <v>2223</v>
      </c>
      <c r="D1019" s="5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3">
      <c r="A1020" s="3" t="s">
        <v>1032</v>
      </c>
      <c r="B1020" s="4">
        <v>45115</v>
      </c>
      <c r="C1020" s="3" t="s">
        <v>2224</v>
      </c>
      <c r="D1020" s="5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4283</v>
      </c>
      <c r="M1020" s="3" t="s">
        <v>4278</v>
      </c>
      <c r="N1020">
        <v>547.43999999999994</v>
      </c>
    </row>
    <row r="1021" spans="1:14" x14ac:dyDescent="0.3">
      <c r="A1021" s="3" t="s">
        <v>1033</v>
      </c>
      <c r="B1021" s="4">
        <v>45388</v>
      </c>
      <c r="C1021" s="3" t="s">
        <v>2225</v>
      </c>
      <c r="D1021" s="5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3">
      <c r="A1022" s="3" t="s">
        <v>1034</v>
      </c>
      <c r="B1022" s="4">
        <v>45404</v>
      </c>
      <c r="C1022" s="3" t="s">
        <v>2226</v>
      </c>
      <c r="D1022" s="5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3">
      <c r="A1023" s="3" t="s">
        <v>1035</v>
      </c>
      <c r="B1023" s="4">
        <v>45222</v>
      </c>
      <c r="C1023" s="3" t="s">
        <v>2227</v>
      </c>
      <c r="D1023" s="5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3">
      <c r="A1024" s="3" t="s">
        <v>1036</v>
      </c>
      <c r="B1024" s="4">
        <v>45712</v>
      </c>
      <c r="C1024" s="3" t="s">
        <v>2228</v>
      </c>
      <c r="D1024" s="5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3">
      <c r="A1025" s="3" t="s">
        <v>1037</v>
      </c>
      <c r="B1025" s="4">
        <v>45558</v>
      </c>
      <c r="C1025" s="3" t="s">
        <v>2229</v>
      </c>
      <c r="D1025" s="5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4283</v>
      </c>
      <c r="M1025" s="3" t="s">
        <v>4279</v>
      </c>
      <c r="N1025">
        <v>1168.3499999999999</v>
      </c>
    </row>
    <row r="1026" spans="1:14" x14ac:dyDescent="0.3">
      <c r="A1026" s="3" t="s">
        <v>1038</v>
      </c>
      <c r="B1026" s="4">
        <v>45320</v>
      </c>
      <c r="C1026" s="3" t="s">
        <v>2230</v>
      </c>
      <c r="D1026" s="5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3">
      <c r="A1027" s="3" t="s">
        <v>1039</v>
      </c>
      <c r="B1027" s="4">
        <v>45794</v>
      </c>
      <c r="C1027" s="3" t="s">
        <v>2231</v>
      </c>
      <c r="D1027" s="5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3">
      <c r="A1028" s="3" t="s">
        <v>1040</v>
      </c>
      <c r="B1028" s="4">
        <v>45047</v>
      </c>
      <c r="C1028" s="3" t="s">
        <v>2232</v>
      </c>
      <c r="D1028" s="5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3">
      <c r="A1029" s="3" t="s">
        <v>1041</v>
      </c>
      <c r="B1029" s="4">
        <v>45433</v>
      </c>
      <c r="C1029" s="3" t="s">
        <v>2233</v>
      </c>
      <c r="D1029" s="5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4283</v>
      </c>
      <c r="M1029" s="3" t="s">
        <v>4282</v>
      </c>
      <c r="N1029">
        <v>2219.3200000000002</v>
      </c>
    </row>
    <row r="1030" spans="1:14" x14ac:dyDescent="0.3">
      <c r="A1030" s="3" t="s">
        <v>1042</v>
      </c>
      <c r="B1030" s="4">
        <v>44974</v>
      </c>
      <c r="C1030" s="3" t="s">
        <v>2234</v>
      </c>
      <c r="D1030" s="5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4283</v>
      </c>
      <c r="M1030" s="3" t="s">
        <v>4278</v>
      </c>
      <c r="N1030">
        <v>1761.24</v>
      </c>
    </row>
    <row r="1031" spans="1:14" x14ac:dyDescent="0.3">
      <c r="A1031" s="3" t="s">
        <v>1043</v>
      </c>
      <c r="B1031" s="4">
        <v>45717</v>
      </c>
      <c r="C1031" s="3" t="s">
        <v>2235</v>
      </c>
      <c r="D1031" s="5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3">
      <c r="A1032" s="3" t="s">
        <v>1044</v>
      </c>
      <c r="B1032" s="4">
        <v>45201</v>
      </c>
      <c r="C1032" s="3" t="s">
        <v>2236</v>
      </c>
      <c r="D1032" s="5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3">
      <c r="A1033" s="3" t="s">
        <v>1045</v>
      </c>
      <c r="B1033" s="4">
        <v>44985</v>
      </c>
      <c r="C1033" s="3" t="s">
        <v>2237</v>
      </c>
      <c r="D1033" s="5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3">
      <c r="A1034" s="3" t="s">
        <v>1046</v>
      </c>
      <c r="B1034" s="4">
        <v>45036</v>
      </c>
      <c r="C1034" s="3" t="s">
        <v>2238</v>
      </c>
      <c r="D1034" s="5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3">
      <c r="A1035" s="3" t="s">
        <v>1047</v>
      </c>
      <c r="B1035" s="4">
        <v>45650</v>
      </c>
      <c r="C1035" s="3" t="s">
        <v>2239</v>
      </c>
      <c r="D1035" s="5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3">
      <c r="A1036" s="3" t="s">
        <v>1048</v>
      </c>
      <c r="B1036" s="4">
        <v>45459</v>
      </c>
      <c r="C1036" s="3" t="s">
        <v>2240</v>
      </c>
      <c r="D1036" s="5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3">
      <c r="A1037" s="3" t="s">
        <v>1049</v>
      </c>
      <c r="B1037" s="4">
        <v>45242</v>
      </c>
      <c r="C1037" s="3" t="s">
        <v>2241</v>
      </c>
      <c r="D1037" s="5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4283</v>
      </c>
      <c r="M1037" s="3" t="s">
        <v>4279</v>
      </c>
      <c r="N1037">
        <v>2024.44</v>
      </c>
    </row>
    <row r="1038" spans="1:14" x14ac:dyDescent="0.3">
      <c r="A1038" s="3" t="s">
        <v>1050</v>
      </c>
      <c r="B1038" s="4">
        <v>45443</v>
      </c>
      <c r="C1038" s="3" t="s">
        <v>2242</v>
      </c>
      <c r="D1038" s="5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3">
      <c r="A1039" s="3" t="s">
        <v>1051</v>
      </c>
      <c r="B1039" s="4">
        <v>45273</v>
      </c>
      <c r="C1039" s="3" t="s">
        <v>2243</v>
      </c>
      <c r="D1039" s="5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3">
      <c r="A1040" s="3" t="s">
        <v>1052</v>
      </c>
      <c r="B1040" s="4">
        <v>45731</v>
      </c>
      <c r="C1040" s="3" t="s">
        <v>2244</v>
      </c>
      <c r="D1040" s="5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4283</v>
      </c>
      <c r="M1040" s="3" t="s">
        <v>4281</v>
      </c>
      <c r="N1040">
        <v>1087.5899999999999</v>
      </c>
    </row>
    <row r="1041" spans="1:14" x14ac:dyDescent="0.3">
      <c r="A1041" s="3" t="s">
        <v>1053</v>
      </c>
      <c r="B1041" s="4">
        <v>45836</v>
      </c>
      <c r="C1041" s="3" t="s">
        <v>2245</v>
      </c>
      <c r="D1041" s="5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3">
      <c r="A1042" s="3" t="s">
        <v>1054</v>
      </c>
      <c r="B1042" s="4">
        <v>45245</v>
      </c>
      <c r="C1042" s="3" t="s">
        <v>2246</v>
      </c>
      <c r="D1042" s="5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3">
      <c r="A1043" s="3" t="s">
        <v>1055</v>
      </c>
      <c r="B1043" s="4">
        <v>44968</v>
      </c>
      <c r="C1043" s="3" t="s">
        <v>2247</v>
      </c>
      <c r="D1043" s="5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3">
      <c r="A1044" s="3" t="s">
        <v>1056</v>
      </c>
      <c r="B1044" s="4">
        <v>45635</v>
      </c>
      <c r="C1044" s="3" t="s">
        <v>2248</v>
      </c>
      <c r="D1044" s="5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3">
      <c r="A1045" s="3" t="s">
        <v>1057</v>
      </c>
      <c r="B1045" s="4">
        <v>45668</v>
      </c>
      <c r="C1045" s="3" t="s">
        <v>2249</v>
      </c>
      <c r="D1045" s="5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4283</v>
      </c>
      <c r="M1045" s="3" t="s">
        <v>4278</v>
      </c>
      <c r="N1045">
        <v>359.92</v>
      </c>
    </row>
    <row r="1046" spans="1:14" x14ac:dyDescent="0.3">
      <c r="A1046" s="3" t="s">
        <v>1058</v>
      </c>
      <c r="B1046" s="4">
        <v>45830</v>
      </c>
      <c r="C1046" s="3" t="s">
        <v>2250</v>
      </c>
      <c r="D1046" s="5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3">
      <c r="A1047" s="3" t="s">
        <v>1059</v>
      </c>
      <c r="B1047" s="4">
        <v>45555</v>
      </c>
      <c r="C1047" s="3" t="s">
        <v>2251</v>
      </c>
      <c r="D1047" s="5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4283</v>
      </c>
      <c r="M1047" s="3" t="s">
        <v>4280</v>
      </c>
      <c r="N1047">
        <v>1582</v>
      </c>
    </row>
    <row r="1048" spans="1:14" x14ac:dyDescent="0.3">
      <c r="A1048" s="3" t="s">
        <v>1060</v>
      </c>
      <c r="B1048" s="4">
        <v>45572</v>
      </c>
      <c r="C1048" s="3" t="s">
        <v>2252</v>
      </c>
      <c r="D1048" s="5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3">
      <c r="A1049" s="3" t="s">
        <v>1061</v>
      </c>
      <c r="B1049" s="4">
        <v>45100</v>
      </c>
      <c r="C1049" s="3" t="s">
        <v>2253</v>
      </c>
      <c r="D1049" s="5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3">
      <c r="A1050" s="3" t="s">
        <v>1062</v>
      </c>
      <c r="B1050" s="4">
        <v>45544</v>
      </c>
      <c r="C1050" s="3" t="s">
        <v>2254</v>
      </c>
      <c r="D1050" s="5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4283</v>
      </c>
      <c r="M1050" s="3" t="s">
        <v>4282</v>
      </c>
      <c r="N1050">
        <v>294.60000000000002</v>
      </c>
    </row>
    <row r="1051" spans="1:14" x14ac:dyDescent="0.3">
      <c r="A1051" s="3" t="s">
        <v>1063</v>
      </c>
      <c r="B1051" s="4">
        <v>45491</v>
      </c>
      <c r="C1051" s="3" t="s">
        <v>2255</v>
      </c>
      <c r="D1051" s="5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4283</v>
      </c>
      <c r="M1051" s="3" t="s">
        <v>4278</v>
      </c>
      <c r="N1051">
        <v>1959.3</v>
      </c>
    </row>
    <row r="1052" spans="1:14" x14ac:dyDescent="0.3">
      <c r="A1052" s="3" t="s">
        <v>1064</v>
      </c>
      <c r="B1052" s="4">
        <v>45158</v>
      </c>
      <c r="C1052" s="3" t="s">
        <v>2256</v>
      </c>
      <c r="D1052" s="5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4283</v>
      </c>
      <c r="M1052" s="3" t="s">
        <v>4278</v>
      </c>
      <c r="N1052">
        <v>348.5</v>
      </c>
    </row>
    <row r="1053" spans="1:14" x14ac:dyDescent="0.3">
      <c r="A1053" s="3" t="s">
        <v>1065</v>
      </c>
      <c r="B1053" s="4">
        <v>45721</v>
      </c>
      <c r="C1053" s="3" t="s">
        <v>2257</v>
      </c>
      <c r="D1053" s="5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3">
      <c r="A1054" s="3" t="s">
        <v>1066</v>
      </c>
      <c r="B1054" s="4">
        <v>45180</v>
      </c>
      <c r="C1054" s="3" t="s">
        <v>2258</v>
      </c>
      <c r="D1054" s="5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3">
      <c r="A1055" s="3" t="s">
        <v>1067</v>
      </c>
      <c r="B1055" s="4">
        <v>45550</v>
      </c>
      <c r="C1055" s="3" t="s">
        <v>2259</v>
      </c>
      <c r="D1055" s="5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3">
      <c r="A1056" s="3" t="s">
        <v>1068</v>
      </c>
      <c r="B1056" s="4">
        <v>45259</v>
      </c>
      <c r="C1056" s="3" t="s">
        <v>2260</v>
      </c>
      <c r="D1056" s="5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3">
      <c r="A1057" s="3" t="s">
        <v>1069</v>
      </c>
      <c r="B1057" s="4">
        <v>45222</v>
      </c>
      <c r="C1057" s="3" t="s">
        <v>2261</v>
      </c>
      <c r="D1057" s="5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3">
      <c r="A1058" s="3" t="s">
        <v>1070</v>
      </c>
      <c r="B1058" s="4">
        <v>45457</v>
      </c>
      <c r="C1058" s="3" t="s">
        <v>2262</v>
      </c>
      <c r="D1058" s="5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3">
      <c r="A1059" s="3" t="s">
        <v>1071</v>
      </c>
      <c r="B1059" s="4">
        <v>45559</v>
      </c>
      <c r="C1059" s="3" t="s">
        <v>2263</v>
      </c>
      <c r="D1059" s="5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3">
      <c r="A1060" s="3" t="s">
        <v>1072</v>
      </c>
      <c r="B1060" s="4">
        <v>45177</v>
      </c>
      <c r="C1060" s="3" t="s">
        <v>2264</v>
      </c>
      <c r="D1060" s="5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3">
      <c r="A1061" s="3" t="s">
        <v>1073</v>
      </c>
      <c r="B1061" s="4">
        <v>45557</v>
      </c>
      <c r="C1061" s="3" t="s">
        <v>2265</v>
      </c>
      <c r="D1061" s="5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3">
      <c r="A1062" s="3" t="s">
        <v>1074</v>
      </c>
      <c r="B1062" s="4">
        <v>45419</v>
      </c>
      <c r="C1062" s="3" t="s">
        <v>2266</v>
      </c>
      <c r="D1062" s="5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3">
      <c r="A1063" s="3" t="s">
        <v>1075</v>
      </c>
      <c r="B1063" s="4">
        <v>45686</v>
      </c>
      <c r="C1063" s="3" t="s">
        <v>2267</v>
      </c>
      <c r="D1063" s="5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3">
      <c r="A1064" s="3" t="s">
        <v>1076</v>
      </c>
      <c r="B1064" s="4">
        <v>45161</v>
      </c>
      <c r="C1064" s="3" t="s">
        <v>2268</v>
      </c>
      <c r="D1064" s="5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4283</v>
      </c>
      <c r="M1064" s="3" t="s">
        <v>4281</v>
      </c>
      <c r="N1064">
        <v>427.6</v>
      </c>
    </row>
    <row r="1065" spans="1:14" x14ac:dyDescent="0.3">
      <c r="A1065" s="3" t="s">
        <v>1077</v>
      </c>
      <c r="B1065" s="4">
        <v>45462</v>
      </c>
      <c r="C1065" s="3" t="s">
        <v>2269</v>
      </c>
      <c r="D1065" s="5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3">
      <c r="A1066" s="3" t="s">
        <v>1078</v>
      </c>
      <c r="B1066" s="4">
        <v>45700</v>
      </c>
      <c r="C1066" s="3" t="s">
        <v>2270</v>
      </c>
      <c r="D1066" s="5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3">
      <c r="A1067" s="3" t="s">
        <v>1079</v>
      </c>
      <c r="B1067" s="4">
        <v>45229</v>
      </c>
      <c r="C1067" s="3" t="s">
        <v>2271</v>
      </c>
      <c r="D1067" s="5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3">
      <c r="A1068" s="3" t="s">
        <v>1080</v>
      </c>
      <c r="B1068" s="4">
        <v>45280</v>
      </c>
      <c r="C1068" s="3" t="s">
        <v>2272</v>
      </c>
      <c r="D1068" s="5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3">
      <c r="A1069" s="3" t="s">
        <v>1081</v>
      </c>
      <c r="B1069" s="4">
        <v>45083</v>
      </c>
      <c r="C1069" s="3" t="s">
        <v>2273</v>
      </c>
      <c r="D1069" s="5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4283</v>
      </c>
      <c r="M1069" s="3" t="s">
        <v>4278</v>
      </c>
      <c r="N1069">
        <v>632.4</v>
      </c>
    </row>
    <row r="1070" spans="1:14" x14ac:dyDescent="0.3">
      <c r="A1070" s="3" t="s">
        <v>1082</v>
      </c>
      <c r="B1070" s="4">
        <v>45507</v>
      </c>
      <c r="C1070" s="3" t="s">
        <v>2274</v>
      </c>
      <c r="D1070" s="5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3">
      <c r="A1071" s="3" t="s">
        <v>1083</v>
      </c>
      <c r="B1071" s="4">
        <v>44982</v>
      </c>
      <c r="C1071" s="3" t="s">
        <v>2275</v>
      </c>
      <c r="D1071" s="5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4283</v>
      </c>
      <c r="M1071" s="3" t="s">
        <v>4281</v>
      </c>
      <c r="N1071">
        <v>454.23</v>
      </c>
    </row>
    <row r="1072" spans="1:14" x14ac:dyDescent="0.3">
      <c r="A1072" s="3" t="s">
        <v>1084</v>
      </c>
      <c r="B1072" s="4">
        <v>45541</v>
      </c>
      <c r="C1072" s="3" t="s">
        <v>2276</v>
      </c>
      <c r="D1072" s="5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4283</v>
      </c>
      <c r="M1072" s="3" t="s">
        <v>4280</v>
      </c>
      <c r="N1072">
        <v>1965.16</v>
      </c>
    </row>
    <row r="1073" spans="1:14" x14ac:dyDescent="0.3">
      <c r="A1073" s="3" t="s">
        <v>1085</v>
      </c>
      <c r="B1073" s="4">
        <v>45832</v>
      </c>
      <c r="C1073" s="3" t="s">
        <v>2277</v>
      </c>
      <c r="D1073" s="5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4283</v>
      </c>
      <c r="M1073" s="3" t="s">
        <v>4282</v>
      </c>
      <c r="N1073">
        <v>510.28</v>
      </c>
    </row>
    <row r="1074" spans="1:14" x14ac:dyDescent="0.3">
      <c r="A1074" s="3" t="s">
        <v>1086</v>
      </c>
      <c r="B1074" s="4">
        <v>44983</v>
      </c>
      <c r="C1074" s="3" t="s">
        <v>2278</v>
      </c>
      <c r="D1074" s="5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3">
      <c r="A1075" s="3" t="s">
        <v>1087</v>
      </c>
      <c r="B1075" s="4">
        <v>45576</v>
      </c>
      <c r="C1075" s="3" t="s">
        <v>2279</v>
      </c>
      <c r="D1075" s="5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4283</v>
      </c>
      <c r="M1075" s="3" t="s">
        <v>4281</v>
      </c>
      <c r="N1075">
        <v>1448.24</v>
      </c>
    </row>
    <row r="1076" spans="1:14" x14ac:dyDescent="0.3">
      <c r="A1076" s="3" t="s">
        <v>1088</v>
      </c>
      <c r="B1076" s="4">
        <v>45422</v>
      </c>
      <c r="C1076" s="3" t="s">
        <v>2280</v>
      </c>
      <c r="D1076" s="5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4283</v>
      </c>
      <c r="M1076" s="3" t="s">
        <v>4282</v>
      </c>
      <c r="N1076">
        <v>222.73</v>
      </c>
    </row>
    <row r="1077" spans="1:14" x14ac:dyDescent="0.3">
      <c r="A1077" s="3" t="s">
        <v>1089</v>
      </c>
      <c r="B1077" s="4">
        <v>45535</v>
      </c>
      <c r="C1077" s="3" t="s">
        <v>2281</v>
      </c>
      <c r="D1077" s="5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3">
      <c r="A1078" s="3" t="s">
        <v>1090</v>
      </c>
      <c r="B1078" s="4">
        <v>45054</v>
      </c>
      <c r="C1078" s="3" t="s">
        <v>2282</v>
      </c>
      <c r="D1078" s="5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4283</v>
      </c>
      <c r="M1078" s="3" t="s">
        <v>4279</v>
      </c>
      <c r="N1078">
        <v>2746.44</v>
      </c>
    </row>
    <row r="1079" spans="1:14" x14ac:dyDescent="0.3">
      <c r="A1079" s="3" t="s">
        <v>1091</v>
      </c>
      <c r="B1079" s="4">
        <v>45723</v>
      </c>
      <c r="C1079" s="3" t="s">
        <v>2283</v>
      </c>
      <c r="D1079" s="5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3">
      <c r="A1080" s="3" t="s">
        <v>1092</v>
      </c>
      <c r="B1080" s="4">
        <v>45003</v>
      </c>
      <c r="C1080" s="3" t="s">
        <v>2284</v>
      </c>
      <c r="D1080" s="5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3">
      <c r="A1081" s="3" t="s">
        <v>1093</v>
      </c>
      <c r="B1081" s="4">
        <v>45463</v>
      </c>
      <c r="C1081" s="3" t="s">
        <v>2285</v>
      </c>
      <c r="D1081" s="5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4283</v>
      </c>
      <c r="M1081" s="3" t="s">
        <v>4280</v>
      </c>
      <c r="N1081">
        <v>3170</v>
      </c>
    </row>
    <row r="1082" spans="1:14" x14ac:dyDescent="0.3">
      <c r="A1082" s="3" t="s">
        <v>1094</v>
      </c>
      <c r="B1082" s="4">
        <v>44946</v>
      </c>
      <c r="C1082" s="3" t="s">
        <v>2286</v>
      </c>
      <c r="D1082" s="5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4283</v>
      </c>
      <c r="M1082" s="3" t="s">
        <v>4279</v>
      </c>
      <c r="N1082">
        <v>2323.6999999999998</v>
      </c>
    </row>
    <row r="1083" spans="1:14" x14ac:dyDescent="0.3">
      <c r="A1083" s="3" t="s">
        <v>1095</v>
      </c>
      <c r="B1083" s="4">
        <v>45037</v>
      </c>
      <c r="C1083" s="3" t="s">
        <v>2287</v>
      </c>
      <c r="D1083" s="5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3">
      <c r="A1084" s="3" t="s">
        <v>1096</v>
      </c>
      <c r="B1084" s="4">
        <v>45205</v>
      </c>
      <c r="C1084" s="3" t="s">
        <v>2288</v>
      </c>
      <c r="D1084" s="5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3">
      <c r="A1085" s="3" t="s">
        <v>1097</v>
      </c>
      <c r="B1085" s="4">
        <v>45482</v>
      </c>
      <c r="C1085" s="3" t="s">
        <v>2289</v>
      </c>
      <c r="D1085" s="5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3">
      <c r="A1086" s="3" t="s">
        <v>1098</v>
      </c>
      <c r="B1086" s="4">
        <v>44934</v>
      </c>
      <c r="C1086" s="3" t="s">
        <v>2290</v>
      </c>
      <c r="D1086" s="5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3">
      <c r="A1087" s="3" t="s">
        <v>1099</v>
      </c>
      <c r="B1087" s="4">
        <v>45067</v>
      </c>
      <c r="C1087" s="3" t="s">
        <v>2291</v>
      </c>
      <c r="D1087" s="5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3">
      <c r="A1088" s="3" t="s">
        <v>1100</v>
      </c>
      <c r="B1088" s="4">
        <v>45283</v>
      </c>
      <c r="C1088" s="3" t="s">
        <v>2292</v>
      </c>
      <c r="D1088" s="5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3">
      <c r="A1089" s="3" t="s">
        <v>1101</v>
      </c>
      <c r="B1089" s="4">
        <v>45739</v>
      </c>
      <c r="C1089" s="3" t="s">
        <v>2293</v>
      </c>
      <c r="D1089" s="5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3">
      <c r="A1090" s="3" t="s">
        <v>1102</v>
      </c>
      <c r="B1090" s="4">
        <v>45260</v>
      </c>
      <c r="C1090" s="3" t="s">
        <v>2294</v>
      </c>
      <c r="D1090" s="5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3">
      <c r="A1091" s="3" t="s">
        <v>1103</v>
      </c>
      <c r="B1091" s="4">
        <v>45731</v>
      </c>
      <c r="C1091" s="3" t="s">
        <v>2295</v>
      </c>
      <c r="D1091" s="5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4283</v>
      </c>
      <c r="M1091" s="3" t="s">
        <v>4278</v>
      </c>
      <c r="N1091">
        <v>1199.48</v>
      </c>
    </row>
    <row r="1092" spans="1:14" x14ac:dyDescent="0.3">
      <c r="A1092" s="3" t="s">
        <v>1104</v>
      </c>
      <c r="B1092" s="4">
        <v>44982</v>
      </c>
      <c r="C1092" s="3" t="s">
        <v>2296</v>
      </c>
      <c r="D1092" s="5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4283</v>
      </c>
      <c r="M1092" s="3" t="s">
        <v>4278</v>
      </c>
      <c r="N1092">
        <v>1300.5</v>
      </c>
    </row>
    <row r="1093" spans="1:14" x14ac:dyDescent="0.3">
      <c r="A1093" s="3" t="s">
        <v>1105</v>
      </c>
      <c r="B1093" s="4">
        <v>45573</v>
      </c>
      <c r="C1093" s="3" t="s">
        <v>2297</v>
      </c>
      <c r="D1093" s="5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4283</v>
      </c>
      <c r="M1093" s="3" t="s">
        <v>4280</v>
      </c>
      <c r="N1093">
        <v>628.43999999999994</v>
      </c>
    </row>
    <row r="1094" spans="1:14" x14ac:dyDescent="0.3">
      <c r="A1094" s="3" t="s">
        <v>1106</v>
      </c>
      <c r="B1094" s="4">
        <v>45159</v>
      </c>
      <c r="C1094" s="3" t="s">
        <v>2298</v>
      </c>
      <c r="D1094" s="5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3">
      <c r="A1095" s="3" t="s">
        <v>1107</v>
      </c>
      <c r="B1095" s="4">
        <v>45086</v>
      </c>
      <c r="C1095" s="3" t="s">
        <v>2299</v>
      </c>
      <c r="D1095" s="5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3">
      <c r="A1096" s="3" t="s">
        <v>1108</v>
      </c>
      <c r="B1096" s="4">
        <v>45105</v>
      </c>
      <c r="C1096" s="3" t="s">
        <v>2300</v>
      </c>
      <c r="D1096" s="5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3">
      <c r="A1097" s="3" t="s">
        <v>1109</v>
      </c>
      <c r="B1097" s="4">
        <v>45405</v>
      </c>
      <c r="C1097" s="3" t="s">
        <v>2301</v>
      </c>
      <c r="D1097" s="5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3">
      <c r="A1098" s="3" t="s">
        <v>1110</v>
      </c>
      <c r="B1098" s="4">
        <v>45780</v>
      </c>
      <c r="C1098" s="3" t="s">
        <v>2302</v>
      </c>
      <c r="D1098" s="5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4283</v>
      </c>
      <c r="M1098" s="3" t="s">
        <v>4281</v>
      </c>
      <c r="N1098">
        <v>929.84</v>
      </c>
    </row>
    <row r="1099" spans="1:14" x14ac:dyDescent="0.3">
      <c r="A1099" s="3" t="s">
        <v>1111</v>
      </c>
      <c r="B1099" s="4">
        <v>45652</v>
      </c>
      <c r="C1099" s="3" t="s">
        <v>2303</v>
      </c>
      <c r="D1099" s="5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3">
      <c r="A1100" s="3" t="s">
        <v>1112</v>
      </c>
      <c r="B1100" s="4">
        <v>45094</v>
      </c>
      <c r="C1100" s="3" t="s">
        <v>2304</v>
      </c>
      <c r="D1100" s="5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4283</v>
      </c>
      <c r="M1100" s="3" t="s">
        <v>4280</v>
      </c>
      <c r="N1100">
        <v>1023.44</v>
      </c>
    </row>
    <row r="1101" spans="1:14" x14ac:dyDescent="0.3">
      <c r="A1101" s="3" t="s">
        <v>1113</v>
      </c>
      <c r="B1101" s="4">
        <v>45554</v>
      </c>
      <c r="C1101" s="3" t="s">
        <v>2305</v>
      </c>
      <c r="D1101" s="5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3">
      <c r="A1102" s="3" t="s">
        <v>1114</v>
      </c>
      <c r="B1102" s="4">
        <v>45155</v>
      </c>
      <c r="C1102" s="3" t="s">
        <v>2306</v>
      </c>
      <c r="D1102" s="5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3">
      <c r="A1103" s="3" t="s">
        <v>1115</v>
      </c>
      <c r="B1103" s="4">
        <v>45816</v>
      </c>
      <c r="C1103" s="3" t="s">
        <v>2307</v>
      </c>
      <c r="D1103" s="5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3">
      <c r="A1104" s="3" t="s">
        <v>1116</v>
      </c>
      <c r="B1104" s="4">
        <v>45446</v>
      </c>
      <c r="C1104" s="3" t="s">
        <v>1228</v>
      </c>
      <c r="D1104" s="5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4283</v>
      </c>
      <c r="M1104" s="3" t="s">
        <v>4278</v>
      </c>
      <c r="N1104">
        <v>1388.68</v>
      </c>
    </row>
    <row r="1105" spans="1:14" x14ac:dyDescent="0.3">
      <c r="A1105" s="3" t="s">
        <v>1117</v>
      </c>
      <c r="B1105" s="4">
        <v>45040</v>
      </c>
      <c r="C1105" s="3" t="s">
        <v>2308</v>
      </c>
      <c r="D1105" s="5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4283</v>
      </c>
      <c r="M1105" s="3" t="s">
        <v>4282</v>
      </c>
      <c r="N1105">
        <v>1105.28</v>
      </c>
    </row>
    <row r="1106" spans="1:14" x14ac:dyDescent="0.3">
      <c r="A1106" s="3" t="s">
        <v>1118</v>
      </c>
      <c r="B1106" s="4">
        <v>45498</v>
      </c>
      <c r="C1106" s="3" t="s">
        <v>2309</v>
      </c>
      <c r="D1106" s="5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4283</v>
      </c>
      <c r="M1106" s="3" t="s">
        <v>4278</v>
      </c>
      <c r="N1106">
        <v>1259.04</v>
      </c>
    </row>
    <row r="1107" spans="1:14" x14ac:dyDescent="0.3">
      <c r="A1107" s="3" t="s">
        <v>1119</v>
      </c>
      <c r="B1107" s="4">
        <v>45299</v>
      </c>
      <c r="C1107" s="3" t="s">
        <v>2310</v>
      </c>
      <c r="D1107" s="5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3">
      <c r="A1108" s="3" t="s">
        <v>1120</v>
      </c>
      <c r="B1108" s="4">
        <v>44997</v>
      </c>
      <c r="C1108" s="3" t="s">
        <v>2311</v>
      </c>
      <c r="D1108" s="5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3">
      <c r="A1109" s="3" t="s">
        <v>1121</v>
      </c>
      <c r="B1109" s="4">
        <v>45838</v>
      </c>
      <c r="C1109" s="3" t="s">
        <v>2312</v>
      </c>
      <c r="D1109" s="5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3">
      <c r="A1110" s="3" t="s">
        <v>1122</v>
      </c>
      <c r="B1110" s="4">
        <v>45005</v>
      </c>
      <c r="C1110" s="3" t="s">
        <v>2313</v>
      </c>
      <c r="D1110" s="5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3">
      <c r="A1111" s="3" t="s">
        <v>1123</v>
      </c>
      <c r="B1111" s="4">
        <v>45390</v>
      </c>
      <c r="C1111" s="3" t="s">
        <v>2314</v>
      </c>
      <c r="D1111" s="5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3">
      <c r="A1112" s="3" t="s">
        <v>1124</v>
      </c>
      <c r="B1112" s="4">
        <v>45347</v>
      </c>
      <c r="C1112" s="3" t="s">
        <v>2315</v>
      </c>
      <c r="D1112" s="5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3">
      <c r="A1113" s="3" t="s">
        <v>1125</v>
      </c>
      <c r="B1113" s="4">
        <v>45052</v>
      </c>
      <c r="C1113" s="3" t="s">
        <v>2316</v>
      </c>
      <c r="D1113" s="5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3">
      <c r="A1114" s="3" t="s">
        <v>1126</v>
      </c>
      <c r="B1114" s="4">
        <v>45212</v>
      </c>
      <c r="C1114" s="3" t="s">
        <v>2317</v>
      </c>
      <c r="D1114" s="5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3">
      <c r="A1115" s="3" t="s">
        <v>1127</v>
      </c>
      <c r="B1115" s="4">
        <v>45004</v>
      </c>
      <c r="C1115" s="3" t="s">
        <v>2318</v>
      </c>
      <c r="D1115" s="5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4283</v>
      </c>
      <c r="M1115" s="3" t="s">
        <v>4282</v>
      </c>
      <c r="N1115">
        <v>839.96</v>
      </c>
    </row>
    <row r="1116" spans="1:14" x14ac:dyDescent="0.3">
      <c r="A1116" s="3" t="s">
        <v>1128</v>
      </c>
      <c r="B1116" s="4">
        <v>45001</v>
      </c>
      <c r="C1116" s="3" t="s">
        <v>2319</v>
      </c>
      <c r="D1116" s="5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4283</v>
      </c>
      <c r="M1116" s="3" t="s">
        <v>4282</v>
      </c>
      <c r="N1116">
        <v>1979.64</v>
      </c>
    </row>
    <row r="1117" spans="1:14" x14ac:dyDescent="0.3">
      <c r="A1117" s="3" t="s">
        <v>1129</v>
      </c>
      <c r="B1117" s="4">
        <v>45828</v>
      </c>
      <c r="C1117" s="3" t="s">
        <v>2320</v>
      </c>
      <c r="D1117" s="5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4283</v>
      </c>
      <c r="M1117" s="3" t="s">
        <v>4282</v>
      </c>
      <c r="N1117">
        <v>672.64</v>
      </c>
    </row>
    <row r="1118" spans="1:14" x14ac:dyDescent="0.3">
      <c r="A1118" s="3" t="s">
        <v>1130</v>
      </c>
      <c r="B1118" s="4">
        <v>45213</v>
      </c>
      <c r="C1118" s="3" t="s">
        <v>2321</v>
      </c>
      <c r="D1118" s="5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3">
      <c r="A1119" s="3" t="s">
        <v>1131</v>
      </c>
      <c r="B1119" s="4">
        <v>45432</v>
      </c>
      <c r="C1119" s="3" t="s">
        <v>2322</v>
      </c>
      <c r="D1119" s="5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3">
      <c r="A1120" s="3" t="s">
        <v>1132</v>
      </c>
      <c r="B1120" s="4">
        <v>45436</v>
      </c>
      <c r="C1120" s="3" t="s">
        <v>2323</v>
      </c>
      <c r="D1120" s="5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4283</v>
      </c>
      <c r="M1120" s="3" t="s">
        <v>4280</v>
      </c>
      <c r="N1120">
        <v>754.43999999999994</v>
      </c>
    </row>
    <row r="1121" spans="1:14" x14ac:dyDescent="0.3">
      <c r="A1121" s="3" t="s">
        <v>1133</v>
      </c>
      <c r="B1121" s="4">
        <v>45620</v>
      </c>
      <c r="C1121" s="3" t="s">
        <v>2324</v>
      </c>
      <c r="D1121" s="5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3">
      <c r="A1122" s="3" t="s">
        <v>1134</v>
      </c>
      <c r="B1122" s="4">
        <v>45787</v>
      </c>
      <c r="C1122" s="3" t="s">
        <v>2325</v>
      </c>
      <c r="D1122" s="5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4283</v>
      </c>
      <c r="M1122" s="3" t="s">
        <v>4281</v>
      </c>
      <c r="N1122">
        <v>195.86</v>
      </c>
    </row>
    <row r="1123" spans="1:14" x14ac:dyDescent="0.3">
      <c r="A1123" s="3" t="s">
        <v>1135</v>
      </c>
      <c r="B1123" s="4">
        <v>45074</v>
      </c>
      <c r="C1123" s="3" t="s">
        <v>2326</v>
      </c>
      <c r="D1123" s="5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3">
      <c r="A1124" s="3" t="s">
        <v>1136</v>
      </c>
      <c r="B1124" s="4">
        <v>45084</v>
      </c>
      <c r="C1124" s="3" t="s">
        <v>1480</v>
      </c>
      <c r="D1124" s="5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4283</v>
      </c>
      <c r="M1124" s="3" t="s">
        <v>4281</v>
      </c>
      <c r="N1124">
        <v>3390.95</v>
      </c>
    </row>
    <row r="1125" spans="1:14" x14ac:dyDescent="0.3">
      <c r="A1125" s="3" t="s">
        <v>1137</v>
      </c>
      <c r="B1125" s="4">
        <v>45030</v>
      </c>
      <c r="C1125" s="3" t="s">
        <v>2327</v>
      </c>
      <c r="D1125" s="5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3">
      <c r="A1126" s="3" t="s">
        <v>1138</v>
      </c>
      <c r="B1126" s="4">
        <v>45055</v>
      </c>
      <c r="C1126" s="3" t="s">
        <v>2328</v>
      </c>
      <c r="D1126" s="5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4283</v>
      </c>
      <c r="M1126" s="3" t="s">
        <v>4278</v>
      </c>
      <c r="N1126">
        <v>2307.48</v>
      </c>
    </row>
    <row r="1127" spans="1:14" x14ac:dyDescent="0.3">
      <c r="A1127" s="3" t="s">
        <v>1139</v>
      </c>
      <c r="B1127" s="4">
        <v>45215</v>
      </c>
      <c r="C1127" s="3" t="s">
        <v>2329</v>
      </c>
      <c r="D1127" s="5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3">
      <c r="A1128" s="3" t="s">
        <v>1140</v>
      </c>
      <c r="B1128" s="4">
        <v>45495</v>
      </c>
      <c r="C1128" s="3" t="s">
        <v>2330</v>
      </c>
      <c r="D1128" s="5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950.55000000000007</v>
      </c>
    </row>
    <row r="1129" spans="1:14" x14ac:dyDescent="0.3">
      <c r="A1129" s="3" t="s">
        <v>1141</v>
      </c>
      <c r="B1129" s="4">
        <v>45731</v>
      </c>
      <c r="C1129" s="3" t="s">
        <v>2331</v>
      </c>
      <c r="D1129" s="5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3">
      <c r="A1130" s="3" t="s">
        <v>1142</v>
      </c>
      <c r="B1130" s="4">
        <v>45155</v>
      </c>
      <c r="C1130" s="3" t="s">
        <v>2332</v>
      </c>
      <c r="D1130" s="5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3">
      <c r="A1131" s="3" t="s">
        <v>1143</v>
      </c>
      <c r="B1131" s="4">
        <v>45088</v>
      </c>
      <c r="C1131" s="3" t="s">
        <v>2333</v>
      </c>
      <c r="D1131" s="5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3">
      <c r="A1132" s="3" t="s">
        <v>1144</v>
      </c>
      <c r="B1132" s="4">
        <v>45704</v>
      </c>
      <c r="C1132" s="3" t="s">
        <v>2334</v>
      </c>
      <c r="D1132" s="5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3">
      <c r="A1133" s="3" t="s">
        <v>1145</v>
      </c>
      <c r="B1133" s="4">
        <v>45491</v>
      </c>
      <c r="C1133" s="3" t="s">
        <v>2335</v>
      </c>
      <c r="D1133" s="5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3">
      <c r="A1134" s="3" t="s">
        <v>1146</v>
      </c>
      <c r="B1134" s="4">
        <v>45628</v>
      </c>
      <c r="C1134" s="3" t="s">
        <v>2336</v>
      </c>
      <c r="D1134" s="5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3">
      <c r="A1135" s="3" t="s">
        <v>1147</v>
      </c>
      <c r="B1135" s="4">
        <v>45391</v>
      </c>
      <c r="C1135" s="3" t="s">
        <v>2337</v>
      </c>
      <c r="D1135" s="5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3">
      <c r="A1136" s="3" t="s">
        <v>1148</v>
      </c>
      <c r="B1136" s="4">
        <v>45451</v>
      </c>
      <c r="C1136" s="3" t="s">
        <v>2338</v>
      </c>
      <c r="D1136" s="5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3">
      <c r="A1137" s="3" t="s">
        <v>1149</v>
      </c>
      <c r="B1137" s="4">
        <v>45288</v>
      </c>
      <c r="C1137" s="3" t="s">
        <v>2339</v>
      </c>
      <c r="D1137" s="5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3">
      <c r="A1138" s="3" t="s">
        <v>1150</v>
      </c>
      <c r="B1138" s="4">
        <v>45193</v>
      </c>
      <c r="C1138" s="3" t="s">
        <v>2340</v>
      </c>
      <c r="D1138" s="5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3">
      <c r="A1139" s="3" t="s">
        <v>1151</v>
      </c>
      <c r="B1139" s="4">
        <v>45502</v>
      </c>
      <c r="C1139" s="3" t="s">
        <v>2341</v>
      </c>
      <c r="D1139" s="5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3">
      <c r="A1140" s="3" t="s">
        <v>1152</v>
      </c>
      <c r="B1140" s="4">
        <v>45278</v>
      </c>
      <c r="C1140" s="3" t="s">
        <v>2342</v>
      </c>
      <c r="D1140" s="5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4283</v>
      </c>
      <c r="M1140" s="3" t="s">
        <v>4278</v>
      </c>
      <c r="N1140">
        <v>1177.6400000000001</v>
      </c>
    </row>
    <row r="1141" spans="1:14" x14ac:dyDescent="0.3">
      <c r="A1141" s="3" t="s">
        <v>1153</v>
      </c>
      <c r="B1141" s="4">
        <v>45717</v>
      </c>
      <c r="C1141" s="3" t="s">
        <v>2256</v>
      </c>
      <c r="D1141" s="5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3">
      <c r="A1142" s="3" t="s">
        <v>1154</v>
      </c>
      <c r="B1142" s="4">
        <v>45467</v>
      </c>
      <c r="C1142" s="3" t="s">
        <v>2343</v>
      </c>
      <c r="D1142" s="5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4283</v>
      </c>
      <c r="M1142" s="3" t="s">
        <v>4279</v>
      </c>
      <c r="N1142">
        <v>1105.6600000000001</v>
      </c>
    </row>
    <row r="1143" spans="1:14" x14ac:dyDescent="0.3">
      <c r="A1143" s="3" t="s">
        <v>1155</v>
      </c>
      <c r="B1143" s="4">
        <v>45704</v>
      </c>
      <c r="C1143" s="3" t="s">
        <v>2344</v>
      </c>
      <c r="D1143" s="5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4283</v>
      </c>
      <c r="M1143" s="3" t="s">
        <v>4280</v>
      </c>
      <c r="N1143">
        <v>1495.98</v>
      </c>
    </row>
    <row r="1144" spans="1:14" x14ac:dyDescent="0.3">
      <c r="A1144" s="3" t="s">
        <v>1156</v>
      </c>
      <c r="B1144" s="4">
        <v>45527</v>
      </c>
      <c r="C1144" s="3" t="s">
        <v>2345</v>
      </c>
      <c r="D1144" s="5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4283</v>
      </c>
      <c r="M1144" s="3" t="s">
        <v>4280</v>
      </c>
      <c r="N1144">
        <v>2780.4</v>
      </c>
    </row>
    <row r="1145" spans="1:14" x14ac:dyDescent="0.3">
      <c r="A1145" s="3" t="s">
        <v>1157</v>
      </c>
      <c r="B1145" s="4">
        <v>45019</v>
      </c>
      <c r="C1145" s="3" t="s">
        <v>2346</v>
      </c>
      <c r="D1145" s="5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4283</v>
      </c>
      <c r="M1145" s="3" t="s">
        <v>4280</v>
      </c>
      <c r="N1145">
        <v>381.61</v>
      </c>
    </row>
    <row r="1146" spans="1:14" x14ac:dyDescent="0.3">
      <c r="A1146" s="3" t="s">
        <v>1158</v>
      </c>
      <c r="B1146" s="4">
        <v>44973</v>
      </c>
      <c r="C1146" s="3" t="s">
        <v>2347</v>
      </c>
      <c r="D1146" s="5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4283</v>
      </c>
      <c r="M1146" s="3" t="s">
        <v>4281</v>
      </c>
      <c r="N1146">
        <v>2539.6999999999998</v>
      </c>
    </row>
    <row r="1147" spans="1:14" x14ac:dyDescent="0.3">
      <c r="A1147" s="3" t="s">
        <v>1159</v>
      </c>
      <c r="B1147" s="4">
        <v>45789</v>
      </c>
      <c r="C1147" s="3" t="s">
        <v>2348</v>
      </c>
      <c r="D1147" s="5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3">
      <c r="A1148" s="3" t="s">
        <v>1160</v>
      </c>
      <c r="B1148" s="4">
        <v>45568</v>
      </c>
      <c r="C1148" s="3" t="s">
        <v>2349</v>
      </c>
      <c r="D1148" s="5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3">
      <c r="A1149" s="3" t="s">
        <v>1161</v>
      </c>
      <c r="B1149" s="4">
        <v>45659</v>
      </c>
      <c r="C1149" s="3" t="s">
        <v>2350</v>
      </c>
      <c r="D1149" s="5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3">
      <c r="A1150" s="3" t="s">
        <v>1162</v>
      </c>
      <c r="B1150" s="4">
        <v>45468</v>
      </c>
      <c r="C1150" s="3" t="s">
        <v>2351</v>
      </c>
      <c r="D1150" s="5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3">
      <c r="A1151" s="3" t="s">
        <v>1163</v>
      </c>
      <c r="B1151" s="4">
        <v>45498</v>
      </c>
      <c r="C1151" s="3" t="s">
        <v>2352</v>
      </c>
      <c r="D1151" s="5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3">
      <c r="A1152" s="3" t="s">
        <v>1164</v>
      </c>
      <c r="B1152" s="4">
        <v>44977</v>
      </c>
      <c r="C1152" s="3" t="s">
        <v>2353</v>
      </c>
      <c r="D1152" s="5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3">
      <c r="A1153" s="3" t="s">
        <v>1165</v>
      </c>
      <c r="B1153" s="4">
        <v>44955</v>
      </c>
      <c r="C1153" s="3" t="s">
        <v>2354</v>
      </c>
      <c r="D1153" s="5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4283</v>
      </c>
      <c r="M1153" s="3" t="s">
        <v>4282</v>
      </c>
      <c r="N1153">
        <v>1216.08</v>
      </c>
    </row>
    <row r="1154" spans="1:14" x14ac:dyDescent="0.3">
      <c r="A1154" s="3" t="s">
        <v>1166</v>
      </c>
      <c r="B1154" s="4">
        <v>45239</v>
      </c>
      <c r="C1154" s="3" t="s">
        <v>2355</v>
      </c>
      <c r="D1154" s="5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4283</v>
      </c>
      <c r="M1154" s="3" t="s">
        <v>4279</v>
      </c>
      <c r="N1154">
        <v>688.36</v>
      </c>
    </row>
    <row r="1155" spans="1:14" x14ac:dyDescent="0.3">
      <c r="A1155" s="3" t="s">
        <v>1167</v>
      </c>
      <c r="B1155" s="4">
        <v>45642</v>
      </c>
      <c r="C1155" s="3" t="s">
        <v>2356</v>
      </c>
      <c r="D1155" s="5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4283</v>
      </c>
      <c r="M1155" s="3" t="s">
        <v>4278</v>
      </c>
      <c r="N1155">
        <v>2786.84</v>
      </c>
    </row>
    <row r="1156" spans="1:14" x14ac:dyDescent="0.3">
      <c r="A1156" s="3" t="s">
        <v>1168</v>
      </c>
      <c r="B1156" s="4">
        <v>45819</v>
      </c>
      <c r="C1156" s="3" t="s">
        <v>2357</v>
      </c>
      <c r="D1156" s="5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3">
      <c r="A1157" s="3" t="s">
        <v>1169</v>
      </c>
      <c r="B1157" s="4">
        <v>45151</v>
      </c>
      <c r="C1157" s="3" t="s">
        <v>2358</v>
      </c>
      <c r="D1157" s="5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3">
      <c r="A1158" s="3" t="s">
        <v>1170</v>
      </c>
      <c r="B1158" s="4">
        <v>45126</v>
      </c>
      <c r="C1158" s="3" t="s">
        <v>2359</v>
      </c>
      <c r="D1158" s="5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4283</v>
      </c>
      <c r="M1158" s="3" t="s">
        <v>4279</v>
      </c>
      <c r="N1158">
        <v>2763.12</v>
      </c>
    </row>
    <row r="1159" spans="1:14" x14ac:dyDescent="0.3">
      <c r="A1159" s="3" t="s">
        <v>1171</v>
      </c>
      <c r="B1159" s="4">
        <v>45441</v>
      </c>
      <c r="C1159" s="3" t="s">
        <v>2360</v>
      </c>
      <c r="D1159" s="5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904.65000000000009</v>
      </c>
    </row>
    <row r="1160" spans="1:14" x14ac:dyDescent="0.3">
      <c r="A1160" s="3" t="s">
        <v>1172</v>
      </c>
      <c r="B1160" s="4">
        <v>45036</v>
      </c>
      <c r="C1160" s="3" t="s">
        <v>2361</v>
      </c>
      <c r="D1160" s="5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3">
      <c r="A1161" s="3" t="s">
        <v>1173</v>
      </c>
      <c r="B1161" s="4">
        <v>45345</v>
      </c>
      <c r="C1161" s="3" t="s">
        <v>2362</v>
      </c>
      <c r="D1161" s="5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4283</v>
      </c>
      <c r="M1161" s="3" t="s">
        <v>4278</v>
      </c>
      <c r="N1161">
        <v>1866.8</v>
      </c>
    </row>
    <row r="1162" spans="1:14" x14ac:dyDescent="0.3">
      <c r="A1162" s="3" t="s">
        <v>1174</v>
      </c>
      <c r="B1162" s="4">
        <v>45539</v>
      </c>
      <c r="C1162" s="3" t="s">
        <v>2363</v>
      </c>
      <c r="D1162" s="5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3">
      <c r="A1163" s="3" t="s">
        <v>1175</v>
      </c>
      <c r="B1163" s="4">
        <v>45215</v>
      </c>
      <c r="C1163" s="3" t="s">
        <v>2364</v>
      </c>
      <c r="D1163" s="5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3">
      <c r="A1164" s="3" t="s">
        <v>1176</v>
      </c>
      <c r="B1164" s="4">
        <v>45727</v>
      </c>
      <c r="C1164" s="3" t="s">
        <v>2365</v>
      </c>
      <c r="D1164" s="5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3">
      <c r="A1165" s="3" t="s">
        <v>1177</v>
      </c>
      <c r="B1165" s="4">
        <v>45454</v>
      </c>
      <c r="C1165" s="3" t="s">
        <v>2366</v>
      </c>
      <c r="D1165" s="5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918.87000000000012</v>
      </c>
    </row>
    <row r="1166" spans="1:14" x14ac:dyDescent="0.3">
      <c r="A1166" s="3" t="s">
        <v>1178</v>
      </c>
      <c r="B1166" s="4">
        <v>45299</v>
      </c>
      <c r="C1166" s="3" t="s">
        <v>2367</v>
      </c>
      <c r="D1166" s="5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3">
      <c r="A1167" s="3" t="s">
        <v>1179</v>
      </c>
      <c r="B1167" s="4">
        <v>45121</v>
      </c>
      <c r="C1167" s="3" t="s">
        <v>2368</v>
      </c>
      <c r="D1167" s="5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4283</v>
      </c>
      <c r="M1167" s="3" t="s">
        <v>4282</v>
      </c>
      <c r="N1167">
        <v>671.37</v>
      </c>
    </row>
    <row r="1168" spans="1:14" x14ac:dyDescent="0.3">
      <c r="A1168" s="3" t="s">
        <v>1180</v>
      </c>
      <c r="B1168" s="4">
        <v>45138</v>
      </c>
      <c r="C1168" s="3" t="s">
        <v>2369</v>
      </c>
      <c r="D1168" s="5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973.41000000000008</v>
      </c>
    </row>
    <row r="1169" spans="1:14" x14ac:dyDescent="0.3">
      <c r="A1169" s="3" t="s">
        <v>1181</v>
      </c>
      <c r="B1169" s="4">
        <v>45216</v>
      </c>
      <c r="C1169" s="3" t="s">
        <v>2370</v>
      </c>
      <c r="D1169" s="5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3">
      <c r="A1170" s="3" t="s">
        <v>1182</v>
      </c>
      <c r="B1170" s="4">
        <v>45024</v>
      </c>
      <c r="C1170" s="3" t="s">
        <v>2371</v>
      </c>
      <c r="D1170" s="5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3">
      <c r="A1171" s="3" t="s">
        <v>1183</v>
      </c>
      <c r="B1171" s="4">
        <v>45649</v>
      </c>
      <c r="C1171" s="3" t="s">
        <v>2372</v>
      </c>
      <c r="D1171" s="5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3">
      <c r="A1172" s="3" t="s">
        <v>1184</v>
      </c>
      <c r="B1172" s="4">
        <v>45141</v>
      </c>
      <c r="C1172" s="3" t="s">
        <v>2373</v>
      </c>
      <c r="D1172" s="5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3">
      <c r="A1173" s="3" t="s">
        <v>1185</v>
      </c>
      <c r="B1173" s="4">
        <v>45166</v>
      </c>
      <c r="C1173" s="3" t="s">
        <v>2374</v>
      </c>
      <c r="D1173" s="5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3">
      <c r="A1174" s="3" t="s">
        <v>1186</v>
      </c>
      <c r="B1174" s="4">
        <v>45692</v>
      </c>
      <c r="C1174" s="3" t="s">
        <v>2375</v>
      </c>
      <c r="D1174" s="5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4283</v>
      </c>
      <c r="M1174" s="3" t="s">
        <v>4278</v>
      </c>
      <c r="N1174">
        <v>395.88</v>
      </c>
    </row>
    <row r="1175" spans="1:14" x14ac:dyDescent="0.3">
      <c r="A1175" s="3" t="s">
        <v>1187</v>
      </c>
      <c r="B1175" s="4">
        <v>45569</v>
      </c>
      <c r="C1175" s="3" t="s">
        <v>2376</v>
      </c>
      <c r="D1175" s="5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3">
      <c r="A1176" s="3" t="s">
        <v>1188</v>
      </c>
      <c r="B1176" s="4">
        <v>45257</v>
      </c>
      <c r="C1176" s="3" t="s">
        <v>2377</v>
      </c>
      <c r="D1176" s="5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3">
      <c r="A1177" s="3" t="s">
        <v>1189</v>
      </c>
      <c r="B1177" s="4">
        <v>45545</v>
      </c>
      <c r="C1177" s="3" t="s">
        <v>2378</v>
      </c>
      <c r="D1177" s="5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3">
      <c r="A1178" s="3" t="s">
        <v>1190</v>
      </c>
      <c r="B1178" s="4">
        <v>45151</v>
      </c>
      <c r="C1178" s="3" t="s">
        <v>2379</v>
      </c>
      <c r="D1178" s="5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3">
      <c r="A1179" s="3" t="s">
        <v>1191</v>
      </c>
      <c r="B1179" s="4">
        <v>45043</v>
      </c>
      <c r="C1179" s="3" t="s">
        <v>2380</v>
      </c>
      <c r="D1179" s="5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3">
      <c r="A1180" s="3" t="s">
        <v>1192</v>
      </c>
      <c r="B1180" s="4">
        <v>45543</v>
      </c>
      <c r="C1180" s="3" t="s">
        <v>2381</v>
      </c>
      <c r="D1180" s="5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3">
      <c r="A1181" s="3" t="s">
        <v>1193</v>
      </c>
      <c r="B1181" s="4">
        <v>44934</v>
      </c>
      <c r="C1181" s="3" t="s">
        <v>2382</v>
      </c>
      <c r="D1181" s="5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3">
      <c r="A1182" s="3" t="s">
        <v>1194</v>
      </c>
      <c r="B1182" s="4">
        <v>45230</v>
      </c>
      <c r="C1182" s="3" t="s">
        <v>2383</v>
      </c>
      <c r="D1182" s="5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3">
      <c r="A1183" s="3" t="s">
        <v>1195</v>
      </c>
      <c r="B1183" s="4">
        <v>45134</v>
      </c>
      <c r="C1183" s="3" t="s">
        <v>2384</v>
      </c>
      <c r="D1183" s="5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3">
      <c r="A1184" s="3" t="s">
        <v>1196</v>
      </c>
      <c r="B1184" s="4">
        <v>45822</v>
      </c>
      <c r="C1184" s="3" t="s">
        <v>2385</v>
      </c>
      <c r="D1184" s="5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3">
      <c r="A1185" s="3" t="s">
        <v>1197</v>
      </c>
      <c r="B1185" s="4">
        <v>45021</v>
      </c>
      <c r="C1185" s="3" t="s">
        <v>2386</v>
      </c>
      <c r="D1185" s="5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3">
      <c r="A1186" s="3" t="s">
        <v>1198</v>
      </c>
      <c r="B1186" s="4">
        <v>45196</v>
      </c>
      <c r="C1186" s="3" t="s">
        <v>2387</v>
      </c>
      <c r="D1186" s="5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4283</v>
      </c>
      <c r="M1186" s="3" t="s">
        <v>4282</v>
      </c>
      <c r="N1186">
        <v>204.08</v>
      </c>
    </row>
    <row r="1187" spans="1:14" x14ac:dyDescent="0.3">
      <c r="A1187" s="3" t="s">
        <v>1199</v>
      </c>
      <c r="B1187" s="4">
        <v>45481</v>
      </c>
      <c r="C1187" s="3" t="s">
        <v>2388</v>
      </c>
      <c r="D1187" s="5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3">
      <c r="A1188" s="3" t="s">
        <v>1200</v>
      </c>
      <c r="B1188" s="4">
        <v>45248</v>
      </c>
      <c r="C1188" s="3" t="s">
        <v>2389</v>
      </c>
      <c r="D1188" s="5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3">
      <c r="A1189" s="3" t="s">
        <v>1201</v>
      </c>
      <c r="B1189" s="4">
        <v>45364</v>
      </c>
      <c r="C1189" s="3" t="s">
        <v>2390</v>
      </c>
      <c r="D1189" s="5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3">
      <c r="A1190" s="3" t="s">
        <v>1202</v>
      </c>
      <c r="B1190" s="4">
        <v>45206</v>
      </c>
      <c r="C1190" s="3" t="s">
        <v>2391</v>
      </c>
      <c r="D1190" s="5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3">
      <c r="A1191" s="3" t="s">
        <v>1203</v>
      </c>
      <c r="B1191" s="4">
        <v>45521</v>
      </c>
      <c r="C1191" s="3" t="s">
        <v>2392</v>
      </c>
      <c r="D1191" s="5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4283</v>
      </c>
      <c r="M1191" s="3" t="s">
        <v>4279</v>
      </c>
      <c r="N1191">
        <v>1946.1</v>
      </c>
    </row>
    <row r="1192" spans="1:14" x14ac:dyDescent="0.3">
      <c r="A1192" s="3" t="s">
        <v>1204</v>
      </c>
      <c r="B1192" s="4">
        <v>45816</v>
      </c>
      <c r="C1192" s="3" t="s">
        <v>2393</v>
      </c>
      <c r="D1192" s="5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3">
      <c r="A1193" s="3" t="s">
        <v>1205</v>
      </c>
      <c r="B1193" s="4">
        <v>45698</v>
      </c>
      <c r="C1193" s="3" t="s">
        <v>2394</v>
      </c>
      <c r="D1193" s="5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3">
      <c r="A1194" s="3" t="s">
        <v>1206</v>
      </c>
      <c r="B1194" s="4">
        <v>45350</v>
      </c>
      <c r="C1194" s="3" t="s">
        <v>2395</v>
      </c>
      <c r="D1194" s="5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4283</v>
      </c>
      <c r="M1194" s="3" t="s">
        <v>4278</v>
      </c>
      <c r="N1194">
        <v>1298.55</v>
      </c>
    </row>
    <row r="1195" spans="1:14" x14ac:dyDescent="0.3">
      <c r="A1195" s="3" t="s">
        <v>1207</v>
      </c>
      <c r="B1195" s="4">
        <v>45824</v>
      </c>
      <c r="C1195" s="3" t="s">
        <v>2396</v>
      </c>
      <c r="D1195" s="5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3">
      <c r="A1196" s="3" t="s">
        <v>1208</v>
      </c>
      <c r="B1196" s="4">
        <v>45249</v>
      </c>
      <c r="C1196" s="3" t="s">
        <v>2397</v>
      </c>
      <c r="D1196" s="5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568.31999999999994</v>
      </c>
    </row>
    <row r="1197" spans="1:14" x14ac:dyDescent="0.3">
      <c r="A1197" s="3" t="s">
        <v>1209</v>
      </c>
      <c r="B1197" s="4">
        <v>45463</v>
      </c>
      <c r="C1197" s="3" t="s">
        <v>2398</v>
      </c>
      <c r="D1197" s="5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3">
      <c r="A1198" s="3" t="s">
        <v>1210</v>
      </c>
      <c r="B1198" s="4">
        <v>45355</v>
      </c>
      <c r="C1198" s="3" t="s">
        <v>2399</v>
      </c>
      <c r="D1198" s="5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4283</v>
      </c>
      <c r="M1198" s="3" t="s">
        <v>4281</v>
      </c>
      <c r="N1198">
        <v>1325.06</v>
      </c>
    </row>
    <row r="1199" spans="1:14" x14ac:dyDescent="0.3">
      <c r="A1199" s="3" t="s">
        <v>1211</v>
      </c>
      <c r="B1199" s="4">
        <v>45120</v>
      </c>
      <c r="C1199" s="3" t="s">
        <v>2400</v>
      </c>
      <c r="D1199" s="5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3">
      <c r="A1200" s="3" t="s">
        <v>1212</v>
      </c>
      <c r="B1200" s="4">
        <v>45526</v>
      </c>
      <c r="C1200" s="3" t="s">
        <v>2401</v>
      </c>
      <c r="D1200" s="5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3">
      <c r="A1201" s="3" t="s">
        <v>1213</v>
      </c>
      <c r="B1201" s="4">
        <v>45088</v>
      </c>
      <c r="C1201" s="3" t="s">
        <v>2402</v>
      </c>
      <c r="D1201" s="5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C9A1-6A39-485E-9659-DBE83C3AF9F3}">
  <sheetPr>
    <tabColor theme="7"/>
  </sheetPr>
  <dimension ref="A2:M44"/>
  <sheetViews>
    <sheetView zoomScale="96" workbookViewId="0">
      <selection activeCell="M45" sqref="M45"/>
    </sheetView>
  </sheetViews>
  <sheetFormatPr defaultRowHeight="14.4" x14ac:dyDescent="0.3"/>
  <cols>
    <col min="1" max="1" width="37.33203125" customWidth="1"/>
    <col min="2" max="2" width="26.109375" customWidth="1"/>
    <col min="3" max="3" width="24.44140625" customWidth="1"/>
    <col min="4" max="4" width="34.77734375" customWidth="1"/>
    <col min="5" max="5" width="22.44140625" customWidth="1"/>
    <col min="7" max="7" width="29.88671875" customWidth="1"/>
    <col min="8" max="8" width="17" customWidth="1"/>
  </cols>
  <sheetData>
    <row r="2" spans="1:8" x14ac:dyDescent="0.3">
      <c r="B2" s="6"/>
      <c r="C2" s="6"/>
    </row>
    <row r="3" spans="1:8" x14ac:dyDescent="0.3">
      <c r="B3" s="6"/>
      <c r="C3" s="6"/>
    </row>
    <row r="4" spans="1:8" x14ac:dyDescent="0.3">
      <c r="B4" s="6"/>
      <c r="C4" s="6"/>
    </row>
    <row r="11" spans="1:8" x14ac:dyDescent="0.3">
      <c r="A11" s="6" t="s">
        <v>4296</v>
      </c>
      <c r="B11" s="7">
        <f>AVERAGE('Cleaned Data'!N:N)</f>
        <v>1053.9683000000005</v>
      </c>
      <c r="D11" s="6" t="s">
        <v>4296</v>
      </c>
      <c r="E11" s="6">
        <f>AVERAGE('Cleaned Data'!F2:F1201)</f>
        <v>356.41275000000007</v>
      </c>
      <c r="G11" s="6" t="s">
        <v>4296</v>
      </c>
      <c r="H11" s="6">
        <f>AVERAGE('Cleaned Data'!E2:E1201)</f>
        <v>2.9458333333333333</v>
      </c>
    </row>
    <row r="12" spans="1:8" x14ac:dyDescent="0.3">
      <c r="A12" s="6" t="s">
        <v>4297</v>
      </c>
      <c r="B12" s="6">
        <f>STDEV('Cleaned Data'!N2:N1201)/SQRT(COUNT('Cleaned Data'!N2:N1201))</f>
        <v>23.667220233435412</v>
      </c>
      <c r="D12" s="6" t="s">
        <v>4297</v>
      </c>
      <c r="E12" s="6">
        <f>STDEV('Cleaned Data'!F2:F1201)/SQRT(COUNT('Cleaned Data'!F2:F1201))</f>
        <v>5.6920139280345943</v>
      </c>
      <c r="G12" s="6" t="s">
        <v>4297</v>
      </c>
      <c r="H12" s="6">
        <f>STDEV('Cleaned Data'!E2:E1201)/SQRT(COUNT('Cleaned Data'!E2:E1201))</f>
        <v>4.0632673494548861E-2</v>
      </c>
    </row>
    <row r="13" spans="1:8" x14ac:dyDescent="0.3">
      <c r="A13" s="6" t="s">
        <v>4298</v>
      </c>
      <c r="B13" s="6">
        <f>MEDIAN('Cleaned Data'!N:N)</f>
        <v>823.61500000000001</v>
      </c>
      <c r="D13" s="6" t="s">
        <v>4298</v>
      </c>
      <c r="E13" s="6">
        <f>MEDIAN('Cleaned Data'!F2:F1201)</f>
        <v>364.21</v>
      </c>
      <c r="G13" s="6" t="s">
        <v>4298</v>
      </c>
      <c r="H13" s="6">
        <f>MEDIAN('Cleaned Data'!E2:E1201)</f>
        <v>3</v>
      </c>
    </row>
    <row r="14" spans="1:8" x14ac:dyDescent="0.3">
      <c r="A14" s="6" t="s">
        <v>4299</v>
      </c>
      <c r="B14" s="6">
        <f>MODE('Cleaned Data'!N2:N1201)</f>
        <v>635.90000000000009</v>
      </c>
      <c r="D14" s="6" t="s">
        <v>4299</v>
      </c>
      <c r="E14" s="6">
        <f>MODE('Cleaned Data'!F2:F1201)</f>
        <v>127.18</v>
      </c>
      <c r="G14" s="6" t="s">
        <v>4299</v>
      </c>
      <c r="H14" s="6">
        <f>MODE('Cleaned Data'!E2:E1201)</f>
        <v>1</v>
      </c>
    </row>
    <row r="15" spans="1:8" x14ac:dyDescent="0.3">
      <c r="A15" s="6" t="s">
        <v>4300</v>
      </c>
      <c r="B15" s="6">
        <f>STDEV('Cleaned Data'!N2:N1201)</f>
        <v>819.85655836464559</v>
      </c>
      <c r="D15" s="6" t="s">
        <v>4300</v>
      </c>
      <c r="E15" s="6">
        <f>STDEV('Cleaned Data'!F2:F1201)</f>
        <v>197.17714641491236</v>
      </c>
      <c r="G15" s="6" t="s">
        <v>4300</v>
      </c>
      <c r="H15" s="6">
        <f>STDEV('Cleaned Data'!E2:E1201)</f>
        <v>1.4075570987983175</v>
      </c>
    </row>
    <row r="16" spans="1:8" x14ac:dyDescent="0.3">
      <c r="A16" s="6" t="s">
        <v>4301</v>
      </c>
      <c r="B16" s="6">
        <f>VAR('Cleaned Data'!N2:N1201)</f>
        <v>672164.77629352151</v>
      </c>
      <c r="D16" s="6" t="s">
        <v>4301</v>
      </c>
      <c r="E16" s="6">
        <f>VAR('Cleaned Data'!F2:F1201)</f>
        <v>38878.827068327788</v>
      </c>
      <c r="G16" s="6" t="s">
        <v>4301</v>
      </c>
      <c r="H16" s="6">
        <f>VAR('Cleaned Data'!E2:E1201)</f>
        <v>1.9812169863775364</v>
      </c>
    </row>
    <row r="17" spans="1:8" x14ac:dyDescent="0.3">
      <c r="A17" s="6" t="s">
        <v>4302</v>
      </c>
      <c r="B17" s="6">
        <f>KURT('Cleaned Data'!N2:N1201)</f>
        <v>-4.0414717406669798E-2</v>
      </c>
      <c r="D17" s="6" t="s">
        <v>4302</v>
      </c>
      <c r="E17" s="6">
        <f>KURT('Cleaned Data'!F2:F1201)</f>
        <v>-1.1910109277585086</v>
      </c>
      <c r="G17" s="6" t="s">
        <v>4302</v>
      </c>
      <c r="H17" s="6">
        <f>KURT('Cleaned Data'!E2:E1201)</f>
        <v>-1.2945958869673317</v>
      </c>
    </row>
    <row r="18" spans="1:8" x14ac:dyDescent="0.3">
      <c r="A18" s="6" t="s">
        <v>4303</v>
      </c>
      <c r="B18" s="6">
        <f>SKEW('Cleaned Data'!N2:N1201)</f>
        <v>0.89135908268090325</v>
      </c>
      <c r="D18" s="6" t="s">
        <v>4303</v>
      </c>
      <c r="E18" s="6">
        <f>SKEW('Cleaned Data'!F2:F1201)</f>
        <v>-2.6511641121851885E-2</v>
      </c>
      <c r="G18" s="6" t="s">
        <v>4303</v>
      </c>
      <c r="H18" s="6">
        <f>SKEW('Cleaned Data'!E2:E1201)</f>
        <v>2.792231401661471E-2</v>
      </c>
    </row>
    <row r="19" spans="1:8" x14ac:dyDescent="0.3">
      <c r="A19" s="6" t="s">
        <v>4304</v>
      </c>
      <c r="B19" s="6">
        <f>MAX('Cleaned Data'!N2:N1201)-MIN('Cleaned Data'!N2:N1201)</f>
        <v>3445.01</v>
      </c>
      <c r="D19" s="6" t="s">
        <v>4304</v>
      </c>
      <c r="E19" s="6">
        <f>MAX('Cleaned Data'!F2:F1201)-MIN('Cleaned Data'!F2:F1201)</f>
        <v>688.54</v>
      </c>
      <c r="G19" s="6" t="s">
        <v>4304</v>
      </c>
      <c r="H19" s="6">
        <f>MAX('Cleaned Data'!E2:E1201)-MIN('Cleaned Data'!E2:E1201)</f>
        <v>4</v>
      </c>
    </row>
    <row r="20" spans="1:8" x14ac:dyDescent="0.3">
      <c r="A20" s="6" t="s">
        <v>4305</v>
      </c>
      <c r="B20" s="6">
        <f>MIN('Cleaned Data'!N:N)</f>
        <v>11.39</v>
      </c>
      <c r="D20" s="6" t="s">
        <v>4305</v>
      </c>
      <c r="E20" s="6">
        <f>MIN('Cleaned Data'!F2:F1201)</f>
        <v>11.39</v>
      </c>
      <c r="G20" s="6" t="s">
        <v>4305</v>
      </c>
      <c r="H20" s="6">
        <f>MIN('Cleaned Data'!E2:E1201)</f>
        <v>1</v>
      </c>
    </row>
    <row r="21" spans="1:8" x14ac:dyDescent="0.3">
      <c r="A21" s="6" t="s">
        <v>4306</v>
      </c>
      <c r="B21" s="6">
        <f>MAX('Cleaned Data'!N:N)</f>
        <v>3456.4</v>
      </c>
      <c r="D21" s="6" t="s">
        <v>4306</v>
      </c>
      <c r="E21" s="6">
        <f>MAX('Cleaned Data'!F2:F1201)</f>
        <v>699.93</v>
      </c>
      <c r="G21" s="6" t="s">
        <v>4306</v>
      </c>
      <c r="H21" s="6">
        <f>MAX('Cleaned Data'!E2:E1201)</f>
        <v>5</v>
      </c>
    </row>
    <row r="22" spans="1:8" x14ac:dyDescent="0.3">
      <c r="A22" s="6" t="s">
        <v>4307</v>
      </c>
      <c r="B22" s="6">
        <f>SUM('Cleaned Data'!N2:N1201)</f>
        <v>1264761.9600000004</v>
      </c>
      <c r="D22" s="6" t="s">
        <v>4307</v>
      </c>
      <c r="E22" s="6">
        <f>SUM('Cleaned Data'!F2:F1201)</f>
        <v>427695.3000000001</v>
      </c>
      <c r="G22" s="6" t="s">
        <v>4307</v>
      </c>
      <c r="H22" s="6">
        <f>SUM('Cleaned Data'!E2:E1201)</f>
        <v>3535</v>
      </c>
    </row>
    <row r="23" spans="1:8" x14ac:dyDescent="0.3">
      <c r="A23" s="6" t="s">
        <v>4295</v>
      </c>
      <c r="B23" s="6">
        <f>COUNTA('Cleaned Data'!A:A)-1</f>
        <v>1200</v>
      </c>
      <c r="D23" s="6" t="s">
        <v>4295</v>
      </c>
      <c r="E23" s="6">
        <f>COUNT('Cleaned Data'!F2:F1201)</f>
        <v>1200</v>
      </c>
      <c r="G23" s="6" t="s">
        <v>4295</v>
      </c>
      <c r="H23" s="6">
        <f>COUNT('Cleaned Data'!E2:E1201)</f>
        <v>1200</v>
      </c>
    </row>
    <row r="31" spans="1:8" x14ac:dyDescent="0.3">
      <c r="A31" s="6"/>
      <c r="B31" s="6" t="s">
        <v>2403</v>
      </c>
      <c r="C31" s="6">
        <f>COUNTIF('Cleaned Data'!D2:D1201,"Monitor")</f>
        <v>163</v>
      </c>
      <c r="D31" s="6">
        <f>SUMIF('Cleaned Data'!D2:D1201,"Monitor",'Cleaned Data'!E2:E1201)</f>
        <v>480</v>
      </c>
      <c r="E31" s="10">
        <f>SUMIF('Cleaned Data'!D2:D1201,"Monitor",'Cleaned Data'!N2:N1201)</f>
        <v>175651.40999999997</v>
      </c>
    </row>
    <row r="32" spans="1:8" ht="15" x14ac:dyDescent="0.35">
      <c r="A32" s="6"/>
      <c r="B32" s="6" t="s">
        <v>2404</v>
      </c>
      <c r="C32" s="9">
        <f>COUNTIF('Cleaned Data'!D2:D1201,"Phone")</f>
        <v>156</v>
      </c>
      <c r="D32" s="6">
        <f>SUMIF('Cleaned Data'!D2:D1201,"Phone",'Cleaned Data'!E2:E1201)</f>
        <v>411</v>
      </c>
      <c r="E32" s="10">
        <f>SUMIF('Cleaned Data'!D2:D1201,"Phone",'Cleaned Data'!N2:N1201)</f>
        <v>151722.39000000001</v>
      </c>
    </row>
    <row r="33" spans="1:13" x14ac:dyDescent="0.3">
      <c r="A33" s="6"/>
      <c r="B33" s="6" t="s">
        <v>2408</v>
      </c>
      <c r="C33" s="6">
        <f>COUNTIF('Cleaned Data'!D2:D1201,"Laptop")</f>
        <v>173</v>
      </c>
      <c r="D33" s="6">
        <f>SUMIF('Cleaned Data'!D2:D1201,"Laptop",'Cleaned Data'!E2:E1201)</f>
        <v>535</v>
      </c>
      <c r="E33" s="10">
        <f>SUMIF('Cleaned Data'!D2:D1201,"Laptop",'Cleaned Data'!N2:N1201)</f>
        <v>192126.55999999994</v>
      </c>
    </row>
    <row r="34" spans="1:13" x14ac:dyDescent="0.3">
      <c r="A34" s="6"/>
      <c r="B34" s="6" t="s">
        <v>2405</v>
      </c>
      <c r="C34" s="6">
        <f>COUNTIF('Cleaned Data'!D2:D1201,"Tablet")</f>
        <v>179</v>
      </c>
      <c r="D34" s="6">
        <f>SUMIF('Cleaned Data'!D2:D1201,"Tablet",'Cleaned Data'!E2:E1201)</f>
        <v>497</v>
      </c>
      <c r="E34" s="10">
        <f>SUMIF('Cleaned Data'!D2:D1201,"Tablet",'Cleaned Data'!N2:N1201)</f>
        <v>186568.95000000007</v>
      </c>
    </row>
    <row r="35" spans="1:13" ht="15" x14ac:dyDescent="0.35">
      <c r="A35" s="6"/>
      <c r="B35" s="6" t="s">
        <v>2406</v>
      </c>
      <c r="C35" s="9">
        <f>COUNTIF('Cleaned Data'!D2:D1201,"Chair")</f>
        <v>178</v>
      </c>
      <c r="D35" s="6">
        <f>SUMIF('Cleaned Data'!D2:D1201,"Chair",'Cleaned Data'!E2:E1201)</f>
        <v>562</v>
      </c>
      <c r="E35" s="10">
        <f>SUMIF('Cleaned Data'!D2:D1201,"Chair",'Cleaned Data'!N2:N1201)</f>
        <v>195620.11000000002</v>
      </c>
    </row>
    <row r="36" spans="1:13" x14ac:dyDescent="0.3">
      <c r="A36" s="6"/>
      <c r="B36" s="6" t="s">
        <v>2409</v>
      </c>
      <c r="C36" s="6">
        <f>COUNTIF('Cleaned Data'!D2:D1201,"Desk")</f>
        <v>170</v>
      </c>
      <c r="D36" s="6">
        <f>SUMIF('Cleaned Data'!D2:D1201,"Desk",'Cleaned Data'!E2:E1201)</f>
        <v>508</v>
      </c>
      <c r="E36" s="10">
        <f>SUMIF('Cleaned Data'!D2:D1201,"Desk",'Cleaned Data'!N2:N1201)</f>
        <v>167459.93</v>
      </c>
    </row>
    <row r="37" spans="1:13" x14ac:dyDescent="0.3">
      <c r="A37" s="6"/>
      <c r="B37" s="6" t="s">
        <v>2407</v>
      </c>
      <c r="C37" s="6">
        <f>COUNTIF('Cleaned Data'!D2:D1201,"Printer")</f>
        <v>181</v>
      </c>
      <c r="D37" s="6">
        <f>SUMIF('Cleaned Data'!D2:D1201,"Printer",'Cleaned Data'!E2:E1201)</f>
        <v>542</v>
      </c>
      <c r="E37" s="10">
        <f>SUMIF('Cleaned Data'!D2:D1201,"Printer",'Cleaned Data'!N2:N1201)</f>
        <v>195612.60999999996</v>
      </c>
    </row>
    <row r="44" spans="1:13" x14ac:dyDescent="0.3">
      <c r="M44" t="s">
        <v>4331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2B31-02C8-43D0-BDC8-52E35972AEF9}">
  <sheetPr>
    <tabColor theme="7" tint="-0.499984740745262"/>
  </sheetPr>
  <dimension ref="A5:K36"/>
  <sheetViews>
    <sheetView tabSelected="1" zoomScale="85" workbookViewId="0">
      <selection activeCell="A24" sqref="A24"/>
    </sheetView>
  </sheetViews>
  <sheetFormatPr defaultRowHeight="14.4" x14ac:dyDescent="0.3"/>
  <cols>
    <col min="1" max="1" width="17.88671875" customWidth="1"/>
    <col min="2" max="2" width="19.5546875" customWidth="1"/>
    <col min="3" max="3" width="23.33203125" customWidth="1"/>
    <col min="4" max="4" width="31.33203125" customWidth="1"/>
    <col min="5" max="5" width="33.5546875" customWidth="1"/>
    <col min="6" max="6" width="25.44140625" customWidth="1"/>
  </cols>
  <sheetData>
    <row r="5" spans="1:11" x14ac:dyDescent="0.3">
      <c r="D5" s="6"/>
    </row>
    <row r="6" spans="1:11" x14ac:dyDescent="0.3">
      <c r="A6" s="6" t="s">
        <v>4308</v>
      </c>
      <c r="B6" s="10">
        <f>QUARTILE('Cleaned Data'!N2:N1201,1)</f>
        <v>410.52</v>
      </c>
      <c r="C6" s="12" t="s">
        <v>121</v>
      </c>
      <c r="D6" s="21" t="s">
        <v>2407</v>
      </c>
      <c r="E6" s="18">
        <v>5</v>
      </c>
      <c r="F6" s="15">
        <v>3353.75</v>
      </c>
    </row>
    <row r="7" spans="1:11" x14ac:dyDescent="0.3">
      <c r="A7" s="6" t="s">
        <v>4309</v>
      </c>
      <c r="B7" s="10">
        <f>QUARTILE('Cleaned Data'!N2:N1201,3)</f>
        <v>1578.4749999999999</v>
      </c>
      <c r="C7" s="13" t="s">
        <v>340</v>
      </c>
      <c r="D7" s="22" t="s">
        <v>2408</v>
      </c>
      <c r="E7" s="19">
        <v>5</v>
      </c>
      <c r="F7" s="16">
        <v>3352.4</v>
      </c>
    </row>
    <row r="8" spans="1:11" x14ac:dyDescent="0.3">
      <c r="A8" s="6" t="s">
        <v>4310</v>
      </c>
      <c r="B8" s="10">
        <f>B7-B6</f>
        <v>1167.9549999999999</v>
      </c>
      <c r="C8" s="12" t="s">
        <v>342</v>
      </c>
      <c r="D8" s="21" t="s">
        <v>2405</v>
      </c>
      <c r="E8" s="18">
        <v>5</v>
      </c>
      <c r="F8" s="15">
        <v>3370.2</v>
      </c>
    </row>
    <row r="9" spans="1:11" ht="15" x14ac:dyDescent="0.35">
      <c r="A9" s="6" t="s">
        <v>4311</v>
      </c>
      <c r="B9" s="24">
        <f>B6-(1.5*B8)</f>
        <v>-1341.4124999999999</v>
      </c>
      <c r="C9" s="13" t="s">
        <v>483</v>
      </c>
      <c r="D9" s="22" t="s">
        <v>2406</v>
      </c>
      <c r="E9" s="19">
        <v>5</v>
      </c>
      <c r="F9" s="16">
        <v>3384.9</v>
      </c>
    </row>
    <row r="10" spans="1:11" ht="15" x14ac:dyDescent="0.35">
      <c r="A10" s="6" t="s">
        <v>4312</v>
      </c>
      <c r="B10" s="24">
        <f>B7+(1.5*B8)</f>
        <v>3330.4074999999998</v>
      </c>
      <c r="C10" s="12" t="s">
        <v>646</v>
      </c>
      <c r="D10" s="21" t="s">
        <v>2408</v>
      </c>
      <c r="E10" s="18">
        <v>5</v>
      </c>
      <c r="F10" s="15">
        <v>3390.8</v>
      </c>
    </row>
    <row r="11" spans="1:11" x14ac:dyDescent="0.3">
      <c r="C11" s="13" t="s">
        <v>803</v>
      </c>
      <c r="D11" s="22" t="s">
        <v>2405</v>
      </c>
      <c r="E11" s="19">
        <v>5</v>
      </c>
      <c r="F11" s="16">
        <v>3456.4</v>
      </c>
    </row>
    <row r="12" spans="1:11" x14ac:dyDescent="0.3">
      <c r="C12" s="12" t="s">
        <v>1079</v>
      </c>
      <c r="D12" s="21" t="s">
        <v>2407</v>
      </c>
      <c r="E12" s="18">
        <v>5</v>
      </c>
      <c r="F12" s="15">
        <v>3334</v>
      </c>
    </row>
    <row r="13" spans="1:11" x14ac:dyDescent="0.3">
      <c r="C13" s="14" t="s">
        <v>1136</v>
      </c>
      <c r="D13" s="23" t="s">
        <v>2403</v>
      </c>
      <c r="E13" s="20">
        <v>5</v>
      </c>
      <c r="F13" s="17">
        <v>3390.95</v>
      </c>
    </row>
    <row r="14" spans="1:11" x14ac:dyDescent="0.3">
      <c r="K14" s="11"/>
    </row>
    <row r="19" spans="2:6" x14ac:dyDescent="0.3">
      <c r="C19" s="6"/>
      <c r="E19" s="8"/>
    </row>
    <row r="20" spans="2:6" ht="15" x14ac:dyDescent="0.35">
      <c r="B20" s="6" t="s">
        <v>4278</v>
      </c>
      <c r="C20" s="9">
        <f>COUNTIF('Cleaned Data'!M2:M1201,"Instagram")</f>
        <v>259</v>
      </c>
      <c r="D20" s="6">
        <f>SUMIF('Cleaned Data'!M2:M1201,"Instagram",'Cleaned Data'!E2:E1201)</f>
        <v>770</v>
      </c>
      <c r="E20" s="24">
        <f>SUMIF('Cleaned Data'!M2:M1201,"Instagram",'Cleaned Data'!N2:N1201)</f>
        <v>275285.45000000007</v>
      </c>
      <c r="F20" s="25">
        <f>AVERAGEIF('Cleaned Data'!M2:M1201,"Instagram",'Cleaned Data'!K2:K1201)</f>
        <v>5.5019305019305023</v>
      </c>
    </row>
    <row r="21" spans="2:6" ht="15" x14ac:dyDescent="0.35">
      <c r="B21" s="6" t="s">
        <v>4281</v>
      </c>
      <c r="C21" s="6">
        <f>COUNTIF('Cleaned Data'!M2:M1201,"Facebook")</f>
        <v>228</v>
      </c>
      <c r="D21" s="9">
        <f>SUMIF('Cleaned Data'!M2:M1201,"Facebook",'Cleaned Data'!E2:E1201)</f>
        <v>674</v>
      </c>
      <c r="E21" s="10">
        <f>SUMIF('Cleaned Data'!M2:M1201,"Facebook",'Cleaned Data'!N2:N1201)</f>
        <v>250410.9</v>
      </c>
      <c r="F21" s="25">
        <f>AVERAGEIF('Cleaned Data'!M2:M1201,"Facebook",'Cleaned Data'!K2:K1201)</f>
        <v>5.333333333333333</v>
      </c>
    </row>
    <row r="22" spans="2:6" ht="15" x14ac:dyDescent="0.35">
      <c r="B22" s="6" t="s">
        <v>4280</v>
      </c>
      <c r="C22" s="9">
        <f>COUNTIF('Cleaned Data'!M2:M1201,"Email")</f>
        <v>250</v>
      </c>
      <c r="D22" s="6">
        <f>SUMIF('Cleaned Data'!M2:M1201,"Email",'Cleaned Data'!E2:E1201)</f>
        <v>746</v>
      </c>
      <c r="E22" s="10">
        <f>SUMIF('Cleaned Data'!M2:M1201,"Email",'Cleaned Data'!N2:N1201)</f>
        <v>261808.55000000002</v>
      </c>
      <c r="F22" s="9">
        <f>AVERAGEIF('Cleaned Data'!M2:M1201,"Email",'Cleaned Data'!K2:K1201)</f>
        <v>5.6</v>
      </c>
    </row>
    <row r="23" spans="2:6" ht="15" x14ac:dyDescent="0.35">
      <c r="B23" s="6" t="s">
        <v>4279</v>
      </c>
      <c r="C23" s="6">
        <f>COUNTIF('Cleaned Data'!M2:M1201,"Referral")</f>
        <v>222</v>
      </c>
      <c r="D23" s="6">
        <f>SUMIF('Cleaned Data'!M2:M1201,"Referral",'Cleaned Data'!E2:E1201)</f>
        <v>631</v>
      </c>
      <c r="E23" s="24">
        <f>SUMIF('Cleaned Data'!M2:M1201,"Referral",'Cleaned Data'!N2:N1201)</f>
        <v>226815.5799999999</v>
      </c>
      <c r="F23" s="25">
        <f>AVERAGEIF('Cleaned Data'!M2:M1201,"Referral",'Cleaned Data'!K2:K1201)</f>
        <v>5.3963963963963968</v>
      </c>
    </row>
    <row r="24" spans="2:6" ht="15" x14ac:dyDescent="0.35">
      <c r="B24" s="6" t="s">
        <v>4282</v>
      </c>
      <c r="C24" s="6">
        <f>COUNTIF('Cleaned Data'!M2:M1201,"Google")</f>
        <v>241</v>
      </c>
      <c r="D24" s="9">
        <f>SUMIF('Cleaned Data'!M2:M1201,"Google",'Cleaned Data'!E2:E1201)</f>
        <v>714</v>
      </c>
      <c r="E24" s="10">
        <f>SUMIF('Cleaned Data'!M2:M1201,"Google",'Cleaned Data'!N2:N1201)</f>
        <v>250441.47999999998</v>
      </c>
      <c r="F24" s="25">
        <f>AVERAGEIF('Cleaned Data'!M2:M1201,"Google",'Cleaned Data'!K2:K1201)</f>
        <v>5.5726141078838172</v>
      </c>
    </row>
    <row r="32" spans="2:6" ht="15" x14ac:dyDescent="0.35">
      <c r="B32" s="6" t="s">
        <v>4313</v>
      </c>
      <c r="C32" s="9">
        <f>COUNTIF('Cleaned Data'!L2:L1201,"FREESHIP")</f>
        <v>313</v>
      </c>
      <c r="D32" s="10">
        <f>SUMIF('Cleaned Data'!L2:L1201,"FREESHIP",'Cleaned Data'!N2:N1201)</f>
        <v>335036.99000000028</v>
      </c>
      <c r="E32" s="6">
        <f>AVERAGEIF('Cleaned Data'!L2:L1201,"FREESHIP",'Cleaned Data'!N2:N1201)</f>
        <v>1070.4057188498412</v>
      </c>
    </row>
    <row r="33" spans="2:5" ht="15" x14ac:dyDescent="0.35">
      <c r="B33" s="6" t="s">
        <v>4314</v>
      </c>
      <c r="C33" s="9">
        <f>COUNTIF('Cleaned Data'!L2:L1201,"NO COUPON")</f>
        <v>309</v>
      </c>
      <c r="D33" s="24">
        <f>SUMIF('Cleaned Data'!L2:L1201,"NO COUPON",'Cleaned Data'!N2:N1201)</f>
        <v>322401.40999999992</v>
      </c>
      <c r="E33" s="6">
        <f>AVERAGEIF('Cleaned Data'!L2:L1201,"NO COUPON",'Cleaned Data'!N2:N1201)</f>
        <v>1043.3702588996762</v>
      </c>
    </row>
    <row r="34" spans="2:5" ht="15" x14ac:dyDescent="0.35">
      <c r="B34" s="6" t="s">
        <v>4315</v>
      </c>
      <c r="C34" s="6">
        <f>COUNTIF('Cleaned Data'!L2:L1201,"SAVE10")</f>
        <v>286</v>
      </c>
      <c r="D34" s="24">
        <f>SUMIF('Cleaned Data'!L2:L1201,"SAVE10",'Cleaned Data'!N2:N1201)</f>
        <v>304840.02</v>
      </c>
      <c r="E34" s="6">
        <f>AVERAGEIF('Cleaned Data'!L2:L1201,"SAVE10",'Cleaned Data'!N2:N1201)</f>
        <v>1065.8741958041958</v>
      </c>
    </row>
    <row r="35" spans="2:5" ht="15" x14ac:dyDescent="0.35">
      <c r="B35" s="6" t="s">
        <v>4316</v>
      </c>
      <c r="C35" s="9">
        <f>COUNTIF('Cleaned Data'!L2:L1201,"WINTER15")</f>
        <v>292</v>
      </c>
      <c r="D35" s="10">
        <f>SUMIF('Cleaned Data'!L2:L1201,"WINTER15",'Cleaned Data'!N2:N1201)</f>
        <v>302483.54000000021</v>
      </c>
      <c r="E35" s="9">
        <f>AVERAGEIF('Cleaned Data'!L2:L1201,"WINTER15",'Cleaned Data'!N2:N1201)</f>
        <v>1035.9025342465761</v>
      </c>
    </row>
    <row r="36" spans="2:5" x14ac:dyDescent="0.3">
      <c r="D36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FC72-D912-4DC2-9A30-7C7720B24B21}">
  <sheetPr>
    <tabColor rgb="FF700591"/>
  </sheetPr>
  <dimension ref="A4:D41"/>
  <sheetViews>
    <sheetView showGridLines="0" workbookViewId="0">
      <selection activeCell="N47" sqref="N47"/>
    </sheetView>
  </sheetViews>
  <sheetFormatPr defaultRowHeight="14.4" x14ac:dyDescent="0.3"/>
  <sheetData>
    <row r="4" spans="1:4" x14ac:dyDescent="0.3">
      <c r="A4" s="6" t="s">
        <v>4317</v>
      </c>
    </row>
    <row r="5" spans="1:4" x14ac:dyDescent="0.3">
      <c r="D5" s="26"/>
    </row>
    <row r="6" spans="1:4" x14ac:dyDescent="0.3">
      <c r="A6" t="s">
        <v>4318</v>
      </c>
    </row>
    <row r="10" spans="1:4" x14ac:dyDescent="0.3">
      <c r="A10" s="6" t="s">
        <v>4319</v>
      </c>
    </row>
    <row r="12" spans="1:4" x14ac:dyDescent="0.3">
      <c r="A12" t="s">
        <v>4320</v>
      </c>
    </row>
    <row r="16" spans="1:4" x14ac:dyDescent="0.3">
      <c r="A16" s="6" t="s">
        <v>4321</v>
      </c>
    </row>
    <row r="18" spans="1:1" x14ac:dyDescent="0.3">
      <c r="A18" t="s">
        <v>4322</v>
      </c>
    </row>
    <row r="22" spans="1:1" x14ac:dyDescent="0.3">
      <c r="A22" s="6" t="s">
        <v>4323</v>
      </c>
    </row>
    <row r="24" spans="1:1" x14ac:dyDescent="0.3">
      <c r="A24" t="s">
        <v>4324</v>
      </c>
    </row>
    <row r="27" spans="1:1" x14ac:dyDescent="0.3">
      <c r="A27" s="6" t="s">
        <v>4325</v>
      </c>
    </row>
    <row r="29" spans="1:1" x14ac:dyDescent="0.3">
      <c r="A29" t="s">
        <v>4326</v>
      </c>
    </row>
    <row r="33" spans="1:1" x14ac:dyDescent="0.3">
      <c r="A33" s="6" t="s">
        <v>4327</v>
      </c>
    </row>
    <row r="35" spans="1:1" x14ac:dyDescent="0.3">
      <c r="A35" t="s">
        <v>4328</v>
      </c>
    </row>
    <row r="39" spans="1:1" x14ac:dyDescent="0.3">
      <c r="A39" s="6" t="s">
        <v>4329</v>
      </c>
    </row>
    <row r="41" spans="1:1" x14ac:dyDescent="0.3">
      <c r="A41" t="s">
        <v>4330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6EA63F-D2BD-4A9D-815F-9DF4A05B84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EDA</vt:lpstr>
      <vt:lpstr>Summary &amp; Observation </vt:lpstr>
      <vt:lpstr>KEY 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Halimat Abu</cp:lastModifiedBy>
  <dcterms:created xsi:type="dcterms:W3CDTF">2025-06-21T13:19:12Z</dcterms:created>
  <dcterms:modified xsi:type="dcterms:W3CDTF">2026-06-06T16:14:38Z</dcterms:modified>
</cp:coreProperties>
</file>